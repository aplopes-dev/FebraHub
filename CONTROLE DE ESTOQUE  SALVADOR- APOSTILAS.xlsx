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 APOSTILAS" sheetId="1" r:id="rId5"/>
    <sheet state="visible" name="MOVIMENTAÇÃO" sheetId="2" r:id="rId6"/>
    <sheet state="visible" name="Estoque de Materiais" sheetId="3" r:id="rId7"/>
    <sheet state="visible" name="Movimentação Estoque" sheetId="4" r:id="rId8"/>
    <sheet state="visible" name="Cadastro de Itens" sheetId="5" r:id="rId9"/>
    <sheet state="visible" name="Material if" sheetId="6" r:id="rId10"/>
    <sheet state="visible" name="Materiais H&amp;M Recife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<sst xmlns="http://schemas.openxmlformats.org/spreadsheetml/2006/main" count="2280" uniqueCount="329">
  <si>
    <t>DATA</t>
  </si>
  <si>
    <t xml:space="preserve">ATUALIZADA EM </t>
  </si>
  <si>
    <t>APOSTILAS</t>
  </si>
  <si>
    <t>TIPO</t>
  </si>
  <si>
    <t>data</t>
  </si>
  <si>
    <t>APOSTILA</t>
  </si>
  <si>
    <t>ENTRADAS</t>
  </si>
  <si>
    <t>QUANTIDADE</t>
  </si>
  <si>
    <t>SAIDAS</t>
  </si>
  <si>
    <t>UF</t>
  </si>
  <si>
    <t>ESTOQUE FINAL</t>
  </si>
  <si>
    <t>PERDA</t>
  </si>
  <si>
    <t>VALOR</t>
  </si>
  <si>
    <t>VALOR TOTAL PERDA</t>
  </si>
  <si>
    <t>MATERIAIS</t>
  </si>
  <si>
    <t>SAIDA</t>
  </si>
  <si>
    <t>Coluna 1</t>
  </si>
  <si>
    <t>ALGODÃO</t>
  </si>
  <si>
    <t>ENTRADA</t>
  </si>
  <si>
    <t>UND</t>
  </si>
  <si>
    <t>CAMISAS MAESTRIA</t>
  </si>
  <si>
    <t>A AUTORIDADE DO CRENTE</t>
  </si>
  <si>
    <t>BHP</t>
  </si>
  <si>
    <t>P</t>
  </si>
  <si>
    <t>M</t>
  </si>
  <si>
    <t>BALÃO JUNINO PEQUENO</t>
  </si>
  <si>
    <t>G</t>
  </si>
  <si>
    <t>CADERNO BUSINESS ( VOLNEY)</t>
  </si>
  <si>
    <t>BALÃO LETRA C</t>
  </si>
  <si>
    <t>GG</t>
  </si>
  <si>
    <t>BALÃO Nº 1</t>
  </si>
  <si>
    <t>CHAVES DO PODER E AUTORRESPONSABILIDADE</t>
  </si>
  <si>
    <t>BANDEIRAS DO BRASIL</t>
  </si>
  <si>
    <t xml:space="preserve">CIS </t>
  </si>
  <si>
    <t>BANDEIROLAS DO BRASIL</t>
  </si>
  <si>
    <t>BANDEIROLAS FLORIDA</t>
  </si>
  <si>
    <t>COACHING PARA METAS</t>
  </si>
  <si>
    <t>BAOAS FESTAS</t>
  </si>
  <si>
    <t>DECIFRE E INFLUENCIE PESSOAS</t>
  </si>
  <si>
    <t>Barra de chocolate Konpenhagem</t>
  </si>
  <si>
    <t>EDUCAR AMAR E DAR LIMITES</t>
  </si>
  <si>
    <t>BLOCO DE NOTAS FEBRACIS</t>
  </si>
  <si>
    <t>BLOCO DE NOTAS HOMENS</t>
  </si>
  <si>
    <t>BLOCO DE NOTAS MAESTRIA</t>
  </si>
  <si>
    <t>FCIS</t>
  </si>
  <si>
    <t>CX</t>
  </si>
  <si>
    <t>BLOCO DE NOTAS MULHERES</t>
  </si>
  <si>
    <t>BOLA DE VIVIL</t>
  </si>
  <si>
    <t>BOLAS ROSA</t>
  </si>
  <si>
    <t>FCIS NOVA</t>
  </si>
  <si>
    <t>BOMBA MANUAL</t>
  </si>
  <si>
    <t>Buzina de pressão</t>
  </si>
  <si>
    <t>FGCPC- COMPANY</t>
  </si>
  <si>
    <t>Cachepots Para Mini Suculentas (rótulos)</t>
  </si>
  <si>
    <t>CADERNO EMPRESARIAL</t>
  </si>
  <si>
    <t>FOCO NA PRÁTICA</t>
  </si>
  <si>
    <t>CAIXA ANIVERSARIO DE DULCE</t>
  </si>
  <si>
    <t>CAIXA BEGE MULHERES ALTA PERFORMANCE</t>
  </si>
  <si>
    <t>FOP</t>
  </si>
  <si>
    <t>CAIXA BRIGADEIRO IF</t>
  </si>
  <si>
    <t>CAIXA CIS GLOBAL</t>
  </si>
  <si>
    <t>FPCH - CIS ASSESMENT</t>
  </si>
  <si>
    <t>CAIXA COM SUPORTE DE CELULAR</t>
  </si>
  <si>
    <t>CAIXA DAY DULCE BORDO</t>
  </si>
  <si>
    <t>IA PARA LIDRES</t>
  </si>
  <si>
    <t>CAIXA DO LIVRO DE DULCE</t>
  </si>
  <si>
    <t>IF</t>
  </si>
  <si>
    <t>CAIXA GGB p/ brigadeiro</t>
  </si>
  <si>
    <t>CAIXA IF</t>
  </si>
  <si>
    <t>ajuste</t>
  </si>
  <si>
    <t>JOGOS EMPRESÁRIAIS</t>
  </si>
  <si>
    <t>CAIXA MAESTRIA</t>
  </si>
  <si>
    <t>CAIXA MENTORIA BUSINESS</t>
  </si>
  <si>
    <t>MASTER</t>
  </si>
  <si>
    <t>CAIXA PRESENTE MAESTRIA</t>
  </si>
  <si>
    <t>CAIXA PRETA HOLDING</t>
  </si>
  <si>
    <t>MINISTRANTES DE SUCESSO</t>
  </si>
  <si>
    <t>CAIXAS HOMENS DE HONRA</t>
  </si>
  <si>
    <t>PCT</t>
  </si>
  <si>
    <t>CAIXAS MULHER EM ALTA PERFORMANCE</t>
  </si>
  <si>
    <t>ML 5</t>
  </si>
  <si>
    <t>CAIXINHA 4X4</t>
  </si>
  <si>
    <t>CAMISA HOMENS DE HONRA</t>
  </si>
  <si>
    <t>MOLESKINE DAY DULCE</t>
  </si>
  <si>
    <t>CAMISA MAESTRIA</t>
  </si>
  <si>
    <t>O PODER DA ALTA PERFORMANCE 16h</t>
  </si>
  <si>
    <t>CAMISA MULHERES  ALTA ERFORMANCEALTA PERFORM</t>
  </si>
  <si>
    <t>CANETA CX C/100</t>
  </si>
  <si>
    <t>O PODER DA ALTA PERFORMANCE 8h</t>
  </si>
  <si>
    <t>CANETA  PODER E ALTA PERFORMANCE</t>
  </si>
  <si>
    <t>O PODER DA AUTORRESPONSABILIDADE 16h</t>
  </si>
  <si>
    <t>CANETA DAY DULCE</t>
  </si>
  <si>
    <t>CANETA MAESTRIA</t>
  </si>
  <si>
    <t>O PODER DA AUTORRESPONSABILIDADE 8H</t>
  </si>
  <si>
    <t>CANETA MENTORIA BUSINESS</t>
  </si>
  <si>
    <t>PDA</t>
  </si>
  <si>
    <t>CAPA DE CADEIRA BLACK</t>
  </si>
  <si>
    <t>CARTUCHO 964 AMARELO</t>
  </si>
  <si>
    <t>PLANEJAMENTO ESTRATÉGICO+CADERNO</t>
  </si>
  <si>
    <t>CARTUCHO 964 AZUL</t>
  </si>
  <si>
    <t>PLANEJAMENTO ESTRATÉGICO+CADERNO NOVO</t>
  </si>
  <si>
    <t>CARTUCHO 964 PRETO</t>
  </si>
  <si>
    <t>CARTUCHO 964 ROSA</t>
  </si>
  <si>
    <t>SISTEMA AMAZON</t>
  </si>
  <si>
    <t>CHAPEU COPO DO BRASIL</t>
  </si>
  <si>
    <t>CHOCOLATES EM PASTILHAS</t>
  </si>
  <si>
    <t>TEAM COACHING - PODER  E ALTA PERFORMANCE</t>
  </si>
  <si>
    <t>CLIP PRATA</t>
  </si>
  <si>
    <t>Cola bastão</t>
  </si>
  <si>
    <t>TEAM COACHING - PODER DA AÇÃO</t>
  </si>
  <si>
    <t>COLONIA JHONSSON</t>
  </si>
  <si>
    <t>CORDÃO FEBRACIS</t>
  </si>
  <si>
    <t>TEAM COACHING - VIVA SUA REAL IDENTIDADE</t>
  </si>
  <si>
    <t>CORDÃO GOLDEN</t>
  </si>
  <si>
    <t>Quantidade na caixa preta</t>
  </si>
  <si>
    <t>CORDÃO GREEN</t>
  </si>
  <si>
    <t>TEAM COACHING BUSINESS  - DULCE</t>
  </si>
  <si>
    <t>CORDÃO GREEN ANTIGO</t>
  </si>
  <si>
    <t>CORDÃO MAESTRIA</t>
  </si>
  <si>
    <t>TECNICAS EM VENDAS</t>
  </si>
  <si>
    <t>CORDÃO PLATINUM</t>
  </si>
  <si>
    <t>COROA DE FESTA</t>
  </si>
  <si>
    <t>TERMOSTATO IF</t>
  </si>
  <si>
    <t>CRACHÁ BLACK</t>
  </si>
  <si>
    <t>CRACHÁ CIS</t>
  </si>
  <si>
    <t xml:space="preserve">LIDERANÇA NA PRATICA </t>
  </si>
  <si>
    <t>CRACHÁ FEBRACIS</t>
  </si>
  <si>
    <t>CRACHÁ GOLDE PAPEL</t>
  </si>
  <si>
    <t>ML5 NOVA</t>
  </si>
  <si>
    <t>CRACHÁ GOLDEN</t>
  </si>
  <si>
    <t>CRACHÁ GREEN</t>
  </si>
  <si>
    <t>CRACHÁ GREEN PAPEL</t>
  </si>
  <si>
    <t>CRACHÁ HOMENS</t>
  </si>
  <si>
    <t>CRACHÁ MAESTRIA</t>
  </si>
  <si>
    <t>CRACHÁ MULHERES</t>
  </si>
  <si>
    <t xml:space="preserve">CRACHÁ PLATINUM </t>
  </si>
  <si>
    <t>CRACHÁ STAFF</t>
  </si>
  <si>
    <t>CUMBUCA 14CM</t>
  </si>
  <si>
    <t xml:space="preserve">CUMBUCA 21CM </t>
  </si>
  <si>
    <t>DIFUSOR  L´OUVORES</t>
  </si>
  <si>
    <t>DUREX GROSSO PCT</t>
  </si>
  <si>
    <t>Durex pequeno</t>
  </si>
  <si>
    <t>ENVELOPE BRANCO A4</t>
  </si>
  <si>
    <t>ENVELOPE CARTA BRANCO</t>
  </si>
  <si>
    <t>ENVELOPE CARTÃO DE VISITA AZUL</t>
  </si>
  <si>
    <t>23;09;2024</t>
  </si>
  <si>
    <t xml:space="preserve">ESPELHOS </t>
  </si>
  <si>
    <t xml:space="preserve">ETIQUETA </t>
  </si>
  <si>
    <t>FACHA DOURADA</t>
  </si>
  <si>
    <t>FACHA PRATA</t>
  </si>
  <si>
    <t>FACHA VERDE</t>
  </si>
  <si>
    <t>FELTRO ROSA</t>
  </si>
  <si>
    <t>FELTRO VERMELHO</t>
  </si>
  <si>
    <t>FILME PVC</t>
  </si>
  <si>
    <t>FITA SILVER TAPE</t>
  </si>
  <si>
    <t>FIXA BALÃO DE TETO</t>
  </si>
  <si>
    <t>FOGUEIRA DE PAPEL</t>
  </si>
  <si>
    <t>FOGUEIRAS DE MADEIRA</t>
  </si>
  <si>
    <t>GIRASSOL</t>
  </si>
  <si>
    <t>GRAMPO</t>
  </si>
  <si>
    <t>Imã de geladeira</t>
  </si>
  <si>
    <t>KIT AVATIM</t>
  </si>
  <si>
    <t>LAÇO FACIL AZUL</t>
  </si>
  <si>
    <t>LAÇO FACIL DOURADO</t>
  </si>
  <si>
    <t>LAÇO FACIL PRATA</t>
  </si>
  <si>
    <t>LAÇO FACIL ROSA</t>
  </si>
  <si>
    <t>LAÇO FACIL VERMELHO</t>
  </si>
  <si>
    <t>Lança confete</t>
  </si>
  <si>
    <t>LAPIS</t>
  </si>
  <si>
    <t>LAPISEIRA DE METAL</t>
  </si>
  <si>
    <t>LENÇO DE PAPEL</t>
  </si>
  <si>
    <t>LIGA ELASTICA PCT</t>
  </si>
  <si>
    <t>Livro de Dulce para doação</t>
  </si>
  <si>
    <t>MALA DE 23KG</t>
  </si>
  <si>
    <t>Marca Pagina Febracis</t>
  </si>
  <si>
    <t>MARCADOR PILOT 1.0</t>
  </si>
  <si>
    <t>und</t>
  </si>
  <si>
    <t>MARCADOR PILOT 2.0</t>
  </si>
  <si>
    <t>cx c/12</t>
  </si>
  <si>
    <t>MASCARAS DE FESTA</t>
  </si>
  <si>
    <t>MINI VASO PLASTICO DE PLANTA</t>
  </si>
  <si>
    <t>Mini vela baunilha</t>
  </si>
  <si>
    <t>MOCHILA MAESTRIA</t>
  </si>
  <si>
    <t>NESCESSARIE DAY DANTAS</t>
  </si>
  <si>
    <t>OCULOS DE FESTA</t>
  </si>
  <si>
    <t>PAPEL DE PRESENTE DOURADO</t>
  </si>
  <si>
    <t>/</t>
  </si>
  <si>
    <t>PAPEL GLOSSY 115G</t>
  </si>
  <si>
    <t>PAPEL GLOSSY 150G</t>
  </si>
  <si>
    <t>PAPEL GLOSSY 230G</t>
  </si>
  <si>
    <t>PAPEL OFICIO</t>
  </si>
  <si>
    <t>PAPEL OFICIO ROSA</t>
  </si>
  <si>
    <t>PAPEL SEDA DOURADO</t>
  </si>
  <si>
    <t>PASTA HOMENS DE HONRA</t>
  </si>
  <si>
    <t>PASTA L</t>
  </si>
  <si>
    <t>PASTA MULHERES DE ALTA PERFORMANCE</t>
  </si>
  <si>
    <t>PERFURADOR DE METAL</t>
  </si>
  <si>
    <t>PILHA RECARREGAVEL AAA</t>
  </si>
  <si>
    <t>PLASTICO BOLHAS</t>
  </si>
  <si>
    <t>Porta Panfleto</t>
  </si>
  <si>
    <t>POST IT 38X51MM</t>
  </si>
  <si>
    <t>PULSEIRA CIS</t>
  </si>
  <si>
    <t>PULSEIRA CIS GLOBAL ( FEBRACIS BAHIA)</t>
  </si>
  <si>
    <t>PULSEIRA METODO CIS</t>
  </si>
  <si>
    <t>PULSEIRA TYVEK DIAMOND HOMENS</t>
  </si>
  <si>
    <t>PULSEIRA TYVEK DIAMOND MULHERES</t>
  </si>
  <si>
    <t>PULSEIRA TYVEK HOMENS AZUL VIP</t>
  </si>
  <si>
    <t>PULSEIRA TYVEK HOMENS CINZA</t>
  </si>
  <si>
    <t>PULSEIRA TYVEK MULHERES  ROSA</t>
  </si>
  <si>
    <t>PULSEIRA TYVEK MULHERES AMARELA VIP</t>
  </si>
  <si>
    <t>RIBOON</t>
  </si>
  <si>
    <t>ROLO DE PAPEL PARDO</t>
  </si>
  <si>
    <t>SACO DE BOBINA 5KG</t>
  </si>
  <si>
    <t>SACO INCOLOR 10X15</t>
  </si>
  <si>
    <t>SACO INCOLOR 11X20</t>
  </si>
  <si>
    <t>SACOLA METALIZADA PRATA</t>
  </si>
  <si>
    <t>SACOLA METALIZADA PRETA</t>
  </si>
  <si>
    <t>SEMIJOIA  ZARRARRA</t>
  </si>
  <si>
    <t>SEMIJOIA BRILHUS</t>
  </si>
  <si>
    <t>SEMIJOIA TB ASSESORIOS</t>
  </si>
  <si>
    <t>SERUM</t>
  </si>
  <si>
    <t>SQUEEZE</t>
  </si>
  <si>
    <t>SUPORTE PARA BALÃO</t>
  </si>
  <si>
    <t>TESOURA</t>
  </si>
  <si>
    <t>TOALHA JUNINA</t>
  </si>
  <si>
    <t>Troféus Golden</t>
  </si>
  <si>
    <t>Troféus Green</t>
  </si>
  <si>
    <t>Troféus Platinum</t>
  </si>
  <si>
    <t>Trufa Kopenhagem</t>
  </si>
  <si>
    <t>VELA DECORATIVA PEQUENA</t>
  </si>
  <si>
    <t>VELA L´OUVORE</t>
  </si>
  <si>
    <t xml:space="preserve">VOUCHER INFINYT CROSFIT </t>
  </si>
  <si>
    <t>CANETA CX C/50</t>
  </si>
  <si>
    <t>GRAMPEADOR</t>
  </si>
  <si>
    <t>CLIPS COLIRIDOS CX</t>
  </si>
  <si>
    <t>COLETE MONITORIA P</t>
  </si>
  <si>
    <t>COLETE MONITORIA M</t>
  </si>
  <si>
    <t>COLETE MONITORIA G</t>
  </si>
  <si>
    <t>MOLESKINE MAESTRIA UNIQUE</t>
  </si>
  <si>
    <t>14+102</t>
  </si>
  <si>
    <t>CANETA MAESTRIA UNIQUE BRANCA</t>
  </si>
  <si>
    <t>SACOLAS MAESTRIA UNIQUE</t>
  </si>
  <si>
    <t xml:space="preserve">TROFÉUS MAESTRIA </t>
  </si>
  <si>
    <t>COPO TERMICO MAESTRIA UNIQUE</t>
  </si>
  <si>
    <t xml:space="preserve">CANETA FEBRACIS </t>
  </si>
  <si>
    <t>HEADSET LOGITECH</t>
  </si>
  <si>
    <t>MOUSE SEM FIO HP</t>
  </si>
  <si>
    <t>CAIXA DAY DULCE LILAS</t>
  </si>
  <si>
    <t>CAIXA DAY DULCE ROSA</t>
  </si>
  <si>
    <t>CANETA MAESTRIA CONVIDADOS</t>
  </si>
  <si>
    <t>ITENS</t>
  </si>
  <si>
    <t>RL</t>
  </si>
  <si>
    <t>CORDÃO E CRACHÁ MAESTRIA GLOBAL BUSINESS</t>
  </si>
  <si>
    <t>ESPUMA PARA HEDSET</t>
  </si>
  <si>
    <t>MATERIAIS PARA O IF</t>
  </si>
  <si>
    <t>Coluna 2</t>
  </si>
  <si>
    <t xml:space="preserve">CORDÃO PRETO </t>
  </si>
  <si>
    <t>LIGA ELASTICA</t>
  </si>
  <si>
    <t>PILOTE VERDE</t>
  </si>
  <si>
    <t>PILOTE PRETO</t>
  </si>
  <si>
    <t>PILOTE AZUL</t>
  </si>
  <si>
    <t>PILOTE VERMELHO</t>
  </si>
  <si>
    <t>CANETA CRISTAL</t>
  </si>
  <si>
    <t>CLIPS</t>
  </si>
  <si>
    <t>CANETA PILOT 2.0</t>
  </si>
  <si>
    <t>CX C/12</t>
  </si>
  <si>
    <t>DUREX GROSSO</t>
  </si>
  <si>
    <t>RESMA</t>
  </si>
  <si>
    <t>COLETES</t>
  </si>
  <si>
    <t>CUMBUCAS 14CM</t>
  </si>
  <si>
    <t>CUMBUCAS 21CM</t>
  </si>
  <si>
    <t>TONEL 200LT</t>
  </si>
  <si>
    <t>ENERGETICOS</t>
  </si>
  <si>
    <t>FD C/12</t>
  </si>
  <si>
    <t xml:space="preserve">APOSTILAS IF </t>
  </si>
  <si>
    <t>IMPRESSORA DE CREDENCIAMENTO</t>
  </si>
  <si>
    <t xml:space="preserve">LENÇO DE PAPEL </t>
  </si>
  <si>
    <t>ENVELOPE A4</t>
  </si>
  <si>
    <t>CX C/250</t>
  </si>
  <si>
    <t>APOSTILAS IF RECIFE</t>
  </si>
  <si>
    <t>CARTUCHO AZUL</t>
  </si>
  <si>
    <t>CARTUCHO PRETO</t>
  </si>
  <si>
    <t>CARTUCHO AMARELO</t>
  </si>
  <si>
    <t>CARTUCHO ROSA</t>
  </si>
  <si>
    <t>ETIQUETA</t>
  </si>
  <si>
    <t>ROLOS</t>
  </si>
  <si>
    <t>RIBBON</t>
  </si>
  <si>
    <t xml:space="preserve">MOCHILA MAESTRIA </t>
  </si>
  <si>
    <t>MATERIAIS H&amp;M ENVIADOS PARA RECIFE</t>
  </si>
  <si>
    <t>QUANT</t>
  </si>
  <si>
    <t>VL. UNT</t>
  </si>
  <si>
    <t>FRETE</t>
  </si>
  <si>
    <t>VL.TOTAL</t>
  </si>
  <si>
    <t>Column 10</t>
  </si>
  <si>
    <t>NF</t>
  </si>
  <si>
    <t>COMPENSAÇÃO</t>
  </si>
  <si>
    <t>https://nfe.etransparencia.com.br/sp.ferraz/nfe/PublicTempStorage/sis_00000000000454198900000_lay3.pdf</t>
  </si>
  <si>
    <t>COMPENSADO</t>
  </si>
  <si>
    <t>SUM de VL.TOTAL</t>
  </si>
  <si>
    <t>PASTA HOMENS</t>
  </si>
  <si>
    <t>https://nfe.etransparencia.com.br/sp.ferraz/nfe/PublicTempStorage/sis_00000000000448036700000_lay3.pdf</t>
  </si>
  <si>
    <t>PENDENTE</t>
  </si>
  <si>
    <t>PASTA MULHERES</t>
  </si>
  <si>
    <t>Total geral</t>
  </si>
  <si>
    <t>ESPELHOS</t>
  </si>
  <si>
    <t>elo 7</t>
  </si>
  <si>
    <t>CAIXINHAS MULHERES</t>
  </si>
  <si>
    <t>enviado no grupo</t>
  </si>
  <si>
    <t>file:///C:/Users/finan/Downloads/NFS-e_2164_FEBRACIS_SALVADOR.pdf</t>
  </si>
  <si>
    <t>CAMISAS MULHERES</t>
  </si>
  <si>
    <t>file:///C:/Users/finan/Downloads/Pedido%203743795%20cedro%20diamantino.pdf</t>
  </si>
  <si>
    <t>CAMISA HOMENS</t>
  </si>
  <si>
    <t>PULSEIRAS HOMENS</t>
  </si>
  <si>
    <t>PULSEIRAS MULHERES</t>
  </si>
  <si>
    <t>LIVROS DULCE</t>
  </si>
  <si>
    <t xml:space="preserve">primeira remessa da compra </t>
  </si>
  <si>
    <t>INOVE PRATAS BRINDES</t>
  </si>
  <si>
    <t>Brinde de parceria</t>
  </si>
  <si>
    <t>APOSTILA MASTER</t>
  </si>
  <si>
    <t>Caderno mentoria business</t>
  </si>
  <si>
    <t>Caixa mentoria business</t>
  </si>
  <si>
    <t>caneta mentoria business</t>
  </si>
  <si>
    <t>APOSTILA BHP</t>
  </si>
  <si>
    <t>MOSLEKINE MAESTRIA UNIQUE</t>
  </si>
  <si>
    <t>CANETA MAESTRUA UNIQUE</t>
  </si>
  <si>
    <t>CAPA MAESTRIA</t>
  </si>
  <si>
    <t>TROFÉUS MAESTRIA</t>
  </si>
  <si>
    <t>TOTAL</t>
  </si>
  <si>
    <t>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</si>
</sst>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d/mm"/>
    <numFmt numFmtId="167" formatCode="d/m/yyyy"/>
  </numFmts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b/>
      <sz val="10.0"/>
      <color rgb="FF000000"/>
      <name val="Arial"/>
    </font>
    <font>
      <b/>
      <color rgb="FF000000"/>
      <name val="Arial"/>
      <scheme val="minor"/>
    </font>
    <font>
      <b/>
      <color rgb="FFFFFFFF"/>
      <name val="Arial"/>
    </font>
    <font>
      <b/>
      <sz val="9.0"/>
      <color rgb="FF000000"/>
      <name val="Arial"/>
    </font>
    <font>
      <u/>
      <color rgb="FF0000FF"/>
      <name val="Roboto"/>
    </font>
    <font>
      <b/>
      <color rgb="FFFFFFFF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356854"/>
        <bgColor rgb="FF356854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vertical="bottom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1" fillId="3" fontId="2" numFmtId="165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vertical="bottom"/>
    </xf>
    <xf borderId="1" fillId="0" fontId="3" numFmtId="165" xfId="0" applyAlignment="1" applyBorder="1" applyFont="1" applyNumberFormat="1">
      <alignment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5" numFmtId="0" xfId="0" applyFont="1"/>
    <xf borderId="0" fillId="0" fontId="2" numFmtId="3" xfId="0" applyAlignment="1" applyFont="1" applyNumberFormat="1">
      <alignment horizontal="center" shrinkToFit="0" vertical="bottom" wrapText="0"/>
    </xf>
    <xf borderId="0" fillId="2" fontId="6" numFmtId="3" xfId="0" applyAlignment="1" applyFill="1" applyFont="1" applyNumberFormat="1">
      <alignment horizontal="center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0" fillId="4" fontId="2" numFmtId="3" xfId="0" applyAlignment="1" applyFill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horizontal="center" shrinkToFit="0" vertical="bottom" wrapText="0"/>
    </xf>
    <xf borderId="0" fillId="3" fontId="7" numFmtId="165" xfId="0" applyAlignment="1" applyFill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bottom" wrapText="0"/>
    </xf>
    <xf borderId="0" fillId="5" fontId="8" numFmtId="3" xfId="0" applyAlignment="1" applyFill="1" applyFont="1" applyNumberFormat="1">
      <alignment shrinkToFit="0" vertical="bottom" wrapText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2" fontId="9" numFmtId="3" xfId="0" applyAlignment="1" applyFill="1" applyFont="1" applyNumberFormat="1">
      <alignment horizontal="center" shrinkToFit="0" vertical="center" wrapText="0"/>
    </xf>
    <xf borderId="1" fillId="0" fontId="3" numFmtId="167" xfId="0" applyAlignment="1" applyBorder="1" applyFont="1" applyNumberFormat="1">
      <alignment horizontal="center" readingOrder="0" shrinkToFit="0" vertical="center" wrapText="0"/>
    </xf>
    <xf borderId="0" fillId="4" fontId="1" numFmtId="3" xfId="0" applyAlignment="1" applyFill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5" numFmtId="165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6" fontId="11" numFmtId="0" xfId="0" applyFill="1" applyFont="1"/>
    <xf borderId="1" fillId="7" fontId="4" numFmtId="0" xfId="0" applyBorder="1" applyFill="1" applyFont="1"/>
    <xf borderId="1" fillId="0" fontId="3" numFmtId="164" xfId="0" applyBorder="1" applyFont="1" applyNumberFormat="1"/>
    <xf borderId="0" fillId="6" fontId="12" numFmtId="0" xfId="0" applyFill="1" applyFont="1"/>
    <xf borderId="0" fillId="6" fontId="12" numFmtId="164" xfId="0" applyFill="1" applyFont="1" applyNumberFormat="1"/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Font="1" applyNumberFormat="1"/>
    <xf borderId="0" fillId="0" fontId="3" numFmtId="0" xfId="0" applyAlignment="1" applyFont="1">
      <alignment horizontal="center"/>
    </xf>
    <xf borderId="1" fillId="0" fontId="5" numFmtId="165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0" fillId="4" fontId="3" numFmtId="3" xfId="0" applyAlignment="1" applyFill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Estoque de Materia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VIMENTAÇÃO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Movimentação Estoqu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STOQUE APOSTIL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 de Iten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Material if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Materiais H&amp;M Recife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1" sheet="Materiais H&amp;M Recife"/>
  </cacheSource>
  <cacheFields>
    <cacheField name="MATERIAIS H&amp;M ENVIADOS PARA RECIFE" numFmtId="0">
      <sharedItems containsBlank="1">
        <s v="CRACHÁ HOMENS"/>
        <s v="CRACHÁ MULHERES"/>
        <s v="PASTA HOMENS"/>
        <s v="PASTA MULHERES"/>
        <s v="ESPELHOS"/>
        <s v="CAIXINHAS MULHERES"/>
        <s v="BLOCO DE NOTAS HOMENS"/>
        <s v="BLOCO DE NOTAS MULHERES"/>
        <s v="CAMISAS MULHERES"/>
        <s v="CAMISA HOMENS"/>
        <s v="PULSEIRAS HOMENS"/>
        <s v="PULSEIRAS MULHERES"/>
        <s v="LIVROS DULCE"/>
        <s v="INOVE PRATAS BRINDES"/>
        <s v="FRETE"/>
        <s v="APOSTILA MASTER"/>
        <s v="Caderno mentoria business"/>
        <s v="Caixa mentoria business"/>
        <s v="caneta mentoria business"/>
        <s v="APOSTILA BHP"/>
        <s v="CAIXA MAESTRIA"/>
        <s v="MOSLEKINE MAESTRIA UNIQUE"/>
        <s v="CANETA MAESTRUA UNIQUE"/>
        <s v="CAPA MAESTRIA"/>
        <s v="BLOCO DE NOTAS MAESTRIA"/>
        <s v="CORDÃO MAESTRIA"/>
        <s v="CRACHÁ MAESTRIA"/>
        <s v="TROFÉUS MAESTRIA"/>
        <m/>
      </sharedItems>
    </cacheField>
    <cacheField name="UF" numFmtId="0">
      <sharedItems containsBlank="1">
        <s v="UND"/>
        <m/>
      </sharedItems>
    </cacheField>
    <cacheField name="QUANT" numFmtId="0">
      <sharedItems containsString="0" containsBlank="1" containsNumber="1" containsInteger="1">
        <n v="100.0"/>
        <n v="200.0"/>
        <n v="182.0"/>
        <n v="184.0"/>
        <n v="19.0"/>
        <n v="108.0"/>
        <n v="68.0"/>
        <n v="2.0"/>
        <n v="9.0"/>
        <n v="5.0"/>
        <n v="3.0"/>
        <n v="16.0"/>
        <n v="20.0"/>
        <n v="1.0"/>
        <n v="30.0"/>
        <n v="14.0"/>
        <n v="6.0"/>
        <m/>
      </sharedItems>
    </cacheField>
    <cacheField name="VL. UNT" numFmtId="164">
      <sharedItems containsString="0" containsBlank="1" containsNumber="1">
        <n v="0.92"/>
        <n v="2.34"/>
        <n v="5.36"/>
        <n v="18.9"/>
        <n v="10.53"/>
        <n v="34.8"/>
        <n v="0.47"/>
        <n v="0.0"/>
        <n v="300.0"/>
        <n v="104.29"/>
        <n v="37.0"/>
        <n v="45.0"/>
        <n v="6.0"/>
        <n v="53.9"/>
        <n v="29.34"/>
        <n v="15.09"/>
        <n v="13.0"/>
        <n v="14.0"/>
        <n v="7.0"/>
        <n v="4.5"/>
        <m/>
      </sharedItems>
    </cacheField>
    <cacheField name="FRETE" numFmtId="0">
      <sharedItems containsBlank="1">
        <m/>
        <s v="TOTAL"/>
      </sharedItems>
    </cacheField>
    <cacheField name="VL.TOTAL" numFmtId="164">
      <sharedItems containsSemiMixedTypes="0" containsString="0" containsNumber="1">
        <n v="92.0"/>
        <n v="184.0"/>
        <n v="234.0"/>
        <n v="425.88"/>
        <n v="986.24"/>
        <n v="359.09999999999997"/>
        <n v="1137.24"/>
        <n v="716.04"/>
        <n v="69.6"/>
        <n v="313.2"/>
        <n v="174.0"/>
        <n v="104.39999999999999"/>
        <n v="47.0"/>
        <n v="94.0"/>
        <n v="0.0"/>
        <n v="300.0"/>
        <n v="208.58"/>
        <n v="1110.0"/>
        <n v="1350.0"/>
        <n v="180.0"/>
        <n v="754.6"/>
        <n v="225.0"/>
        <n v="146.7"/>
        <n v="75.45"/>
        <n v="78.0"/>
        <n v="84.0"/>
        <n v="42.0"/>
        <n v="27.0"/>
        <n v="9587.630000000001"/>
        <n v="19083.260000000002"/>
      </sharedItems>
    </cacheField>
    <cacheField name="Coluna 1" numFmtId="0">
      <sharedItems>
        <b v="1"/>
        <b v="0"/>
      </sharedItems>
    </cacheField>
    <cacheField name="Column 10" numFmtId="0">
      <sharedItems containsBlank="1">
        <m/>
        <s v="P"/>
        <s v="G"/>
        <s v="GG"/>
        <s v="primeira remessa da compra "/>
        <s v="Brinde de parceria"/>
      </sharedItems>
    </cacheField>
    <cacheField name="NF" numFmtId="0">
      <sharedItems containsBlank="1">
        <s v="https://nfe.etransparencia.com.br/sp.ferraz/nfe/PublicTempStorage/sis_00000000000454198900000_lay3.pdf"/>
        <s v="https://nfe.etransparencia.com.br/sp.ferraz/nfe/PublicTempStorage/sis_00000000000448036700000_lay3.pdf"/>
        <s v="elo 7"/>
        <s v="enviado no grupo"/>
        <s v="file:///C:/Users/finan/Downloads/NFS-e_2164_FEBRACIS_SALVADOR.pdf"/>
        <s v="file:///C:/Users/finan/Downloads/Pedido%203743795%20cedro%20diamantino.pdf"/>
        <m/>
      </sharedItems>
    </cacheField>
    <cacheField name="COMPENSAÇÃO" numFmtId="0">
      <sharedItems containsBlank="1">
        <s v="COMPENSADO"/>
        <s v="PENDENTE"/>
        <m/>
      </sharedItems>
    </cacheField>
    <cacheField name="Coluna 2" numFmtId="0">
      <sharedItems containsString="0" containsBlank="1" containsNumber="1">
        <m/>
        <n v="5514.88"/>
        <n v="4072.7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teriais H&amp;M Recife" cacheId="0" dataCaption="" compact="0" compactData="0">
  <location ref="L2:M5" firstHeaderRow="0" firstDataRow="1" firstDataCol="0"/>
  <pivotFields>
    <pivotField name="MATERIAIS H&amp;M ENVIADOS PARA REC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UF" compact="0" outline="0" multipleItemSelectionAllowed="1" showAll="0">
      <items>
        <item x="0"/>
        <item x="1"/>
        <item t="default"/>
      </items>
    </pivotField>
    <pivotField name="QU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L. U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RETE" compact="0" outline="0" multipleItemSelectionAllowed="1" showAll="0">
      <items>
        <item x="0"/>
        <item x="1"/>
        <item t="default"/>
      </items>
    </pivotField>
    <pivotField name="VL.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oluna 1" compact="0" outline="0" multipleItemSelectionAllowed="1" showAll="0">
      <items>
        <item x="0"/>
        <item x="1"/>
        <item t="default"/>
      </items>
    </pivotField>
    <pivotField name="Column 10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PENSAÇÃO" axis="axisRow" compact="0" outline="0" multipleItemSelectionAllowed="1" showAll="0" sortType="ascending">
      <items>
        <item h="1" x="2"/>
        <item x="0"/>
        <item x="1"/>
        <item t="default"/>
      </items>
    </pivotField>
    <pivotField name="Coluna 2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SUM of VL.TOTAL" fld="5" baseField="0"/>
  </dataFields>
</pivotTableDefinition>
</file>

<file path=xl/tables/table1.xml><?xml version="1.0" encoding="utf-8"?>
<table xmlns="http://schemas.openxmlformats.org/spreadsheetml/2006/main" ref="A1:I999" displayName="ESTOQUE" name="ESTOQUE" id="1">
  <tableColumns count="9">
    <tableColumn name="APOSTILAS" id="1"/>
    <tableColumn name="ENTRADAS" id="2"/>
    <tableColumn name="SAIDAS" id="3"/>
    <tableColumn name="ESTOQUE FINAL" id="4"/>
    <tableColumn name="PERDA" id="5"/>
    <tableColumn name="VALOR" id="6"/>
    <tableColumn name="VALOR TOTAL PERDA" id="7"/>
    <tableColumn name="ATUALIZADA EM " id="8"/>
    <tableColumn name="Coluna 1" id="9"/>
  </tableColumns>
  <tableStyleInfo name="ESTOQUE APOSTILAS-style" showColumnStripes="0" showFirstColumn="1" showLastColumn="1" showRowStripes="1"/>
</table>
</file>

<file path=xl/tables/table2.xml><?xml version="1.0" encoding="utf-8"?>
<table xmlns="http://schemas.openxmlformats.org/spreadsheetml/2006/main" ref="A1:E2000" displayName="Tabela_4" name="Tabela_4" id="3">
  <tableColumns count="5">
    <tableColumn name="data" id="1"/>
    <tableColumn name="TIPO" id="2"/>
    <tableColumn name="APOSTILA" id="3"/>
    <tableColumn name="QUANTIDADE" id="4"/>
    <tableColumn name="UF" id="5"/>
  </tableColumns>
  <tableStyleInfo name="MOVIMENTAÇÃO-style" showColumnStripes="0" showFirstColumn="1" showLastColumn="1" showRowStripes="1"/>
</table>
</file>

<file path=xl/tables/table3.xml><?xml version="1.0" encoding="utf-8"?>
<table xmlns="http://schemas.openxmlformats.org/spreadsheetml/2006/main" ref="A3:E240" displayName="Tabela_1" name="Tabela_1" id="2">
  <tableColumns count="5">
    <tableColumn name="MATERIAIS" id="1"/>
    <tableColumn name="ENTRADA" id="2"/>
    <tableColumn name="SAIDA" id="3"/>
    <tableColumn name="ESTOQUE FINAL" id="4"/>
    <tableColumn name="UF" id="5"/>
  </tableColumns>
  <tableStyleInfo name="Estoque de Materiais-style" showColumnStripes="0" showFirstColumn="1" showLastColumn="1" showRowStripes="1"/>
</table>
</file>

<file path=xl/tables/table4.xml><?xml version="1.0" encoding="utf-8"?>
<table xmlns="http://schemas.openxmlformats.org/spreadsheetml/2006/main" ref="A1:E426" displayName="Tabela_2" name="Tabela_2" id="4">
  <tableColumns count="5">
    <tableColumn name="DATA" id="1"/>
    <tableColumn name="TIPO" id="2"/>
    <tableColumn name="APOSTILA" id="3"/>
    <tableColumn name="QUANTIDADE" id="4"/>
    <tableColumn name="UF" id="5"/>
  </tableColumns>
  <tableStyleInfo name="Movimentação Estoque-style" showColumnStripes="0" showFirstColumn="1" showLastColumn="1" showRowStripes="1"/>
</table>
</file>

<file path=xl/tables/table5.xml><?xml version="1.0" encoding="utf-8"?>
<table xmlns="http://schemas.openxmlformats.org/spreadsheetml/2006/main" ref="A1:A209" displayName="Tabela_5" name="Tabela_5" id="5">
  <tableColumns count="1">
    <tableColumn name="ITENS" id="1"/>
  </tableColumns>
  <tableStyleInfo name="Cadastro de Itens-style" showColumnStripes="0" showFirstColumn="1" showLastColumn="1" showRowStripes="1"/>
</table>
</file>

<file path=xl/tables/table6.xml><?xml version="1.0" encoding="utf-8"?>
<table xmlns="http://schemas.openxmlformats.org/spreadsheetml/2006/main" ref="A1:C40" displayName="Tabela_3" name="Tabela_3" id="6">
  <tableColumns count="3">
    <tableColumn name="MATERIAIS PARA O IF" id="1"/>
    <tableColumn name="Coluna 1" id="2"/>
    <tableColumn name="Coluna 2" id="3"/>
  </tableColumns>
  <tableStyleInfo name="Material if-style" showColumnStripes="0" showFirstColumn="1" showLastColumn="1" showRowStripes="1"/>
</table>
</file>

<file path=xl/tables/table7.xml><?xml version="1.0" encoding="utf-8"?>
<table xmlns="http://schemas.openxmlformats.org/spreadsheetml/2006/main" ref="A1:K41" displayName="Tabela" name="Tabela" id="7">
  <tableColumns count="11">
    <tableColumn name="MATERIAIS H&amp;M ENVIADOS PARA RECIFE" id="1"/>
    <tableColumn name="UF" id="2"/>
    <tableColumn name="QUANT" id="3"/>
    <tableColumn name="VL. UNT" id="4"/>
    <tableColumn name="FRETE" id="5"/>
    <tableColumn name="VL.TOTAL" id="6"/>
    <tableColumn name="Coluna 1" id="7"/>
    <tableColumn name="Column 10" id="8"/>
    <tableColumn name="NF" id="9"/>
    <tableColumn name="COMPENSAÇÃO" id="10"/>
    <tableColumn name="Coluna 2" id="11"/>
  </tableColumns>
  <tableStyleInfo name="Materiais H&amp;M Recif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s://nfe.etransparencia.com.br/sp.ferraz/nfe/PublicTempStorage/sis_00000000000454198900000_lay3.pdf" TargetMode="External"/><Relationship Id="rId3" Type="http://schemas.openxmlformats.org/officeDocument/2006/relationships/hyperlink" Target="https://nfe.etransparencia.com.br/sp.ferraz/nfe/PublicTempStorage/sis_00000000000454198900000_lay3.pdf" TargetMode="External"/><Relationship Id="rId4" Type="http://schemas.openxmlformats.org/officeDocument/2006/relationships/hyperlink" Target="https://nfe.etransparencia.com.br/sp.ferraz/nfe/PublicTempStorage/sis_00000000000448036700000_lay3.pdf" TargetMode="External"/><Relationship Id="rId5" Type="http://schemas.openxmlformats.org/officeDocument/2006/relationships/hyperlink" Target="https://nfe.etransparencia.com.br/sp.ferraz/nfe/PublicTempStorage/sis_00000000000448036700000_lay3.pdf" TargetMode="External"/><Relationship Id="rId6" Type="http://schemas.openxmlformats.org/officeDocument/2006/relationships/drawing" Target="../drawings/drawing7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88"/>
    <col customWidth="1" hidden="1" min="2" max="2" width="14.75"/>
    <col customWidth="1" hidden="1" min="3" max="3" width="11.75"/>
    <col customWidth="1" min="4" max="4" width="19.0"/>
    <col customWidth="1" min="5" max="7" width="21.0"/>
    <col customWidth="1" min="8" max="8" width="37.5"/>
  </cols>
  <sheetData>
    <row r="1" ht="21.0" customHeight="1">
      <c r="A1" s="4" t="s">
        <v>2</v>
      </c>
      <c r="B1" s="4" t="s">
        <v>6</v>
      </c>
      <c r="C1" s="4" t="s">
        <v>8</v>
      </c>
      <c r="D1" s="4" t="s">
        <v>10</v>
      </c>
      <c r="E1" s="8" t="s">
        <v>11</v>
      </c>
      <c r="F1" s="10" t="s">
        <v>12</v>
      </c>
      <c r="G1" s="13" t="s">
        <v>13</v>
      </c>
      <c r="H1" s="4" t="s">
        <v>1</v>
      </c>
      <c r="I1" s="16" t="s">
        <v>16</v>
      </c>
    </row>
    <row r="2" ht="18.75" customHeight="1">
      <c r="A2" s="22" t="str">
        <f t="array" ref="A2:A39">UNIQUE('MOVIMENTAÇÃO'!$C2:$C999)</f>
        <v>A AUTORIDADE DO CRENTE</v>
      </c>
      <c r="B2" s="25">
        <f>SUMIFS('MOVIMENTAÇÃO'!$D:$D,'MOVIMENTAÇÃO'!$C:$C,A2,'MOVIMENTAÇÃO'!$B:$B,"ENTRADA")</f>
        <v>17</v>
      </c>
      <c r="C2" s="26">
        <f>SUMIFS('MOVIMENTAÇÃO'!$D:$D,'MOVIMENTAÇÃO'!$C:$C,A2,'MOVIMENTAÇÃO'!$B:$B,"SAIDA")</f>
        <v>15</v>
      </c>
      <c r="D2" s="28">
        <f t="shared" ref="D2:D39" si="1">B2-C2</f>
        <v>2</v>
      </c>
      <c r="E2" s="25">
        <f>SUMIFS('MOVIMENTAÇÃO'!$D:$D,'MOVIMENTAÇÃO'!$C:$C,A2,'MOVIMENTAÇÃO'!$B:$B,"PERDA")</f>
        <v>0</v>
      </c>
      <c r="F2" s="32">
        <f>SUMIFS('MOVIMENTAÇÃO'!$E:$E,'MOVIMENTAÇÃO'!$C:$C,A2,'MOVIMENTAÇÃO'!$B:$B,"PERDA")</f>
        <v>0</v>
      </c>
      <c r="G2" s="32">
        <f t="shared" ref="G2:G999" si="2">E2*F2</f>
        <v>0</v>
      </c>
      <c r="H2" s="33">
        <f>TODAY()</f>
        <v>46259</v>
      </c>
      <c r="I2" s="34"/>
    </row>
    <row r="3" ht="22.5" customHeight="1">
      <c r="A3" s="22" t="s">
        <v>22</v>
      </c>
      <c r="B3" s="25">
        <f>SUMIFS('MOVIMENTAÇÃO'!$D:$D,'MOVIMENTAÇÃO'!$C:$C,A3,'MOVIMENTAÇÃO'!$B:$B,"ENTRADA")</f>
        <v>254</v>
      </c>
      <c r="C3" s="26">
        <f>SUMIFS('MOVIMENTAÇÃO'!$D:$D,'MOVIMENTAÇÃO'!$C:$C,A3,'MOVIMENTAÇÃO'!$B:$B,"SAIDA")</f>
        <v>250</v>
      </c>
      <c r="D3" s="28">
        <f t="shared" si="1"/>
        <v>4</v>
      </c>
      <c r="E3" s="25">
        <f>SUMIFS('MOVIMENTAÇÃO'!$D:$D,'MOVIMENTAÇÃO'!$C:$C,A3,'MOVIMENTAÇÃO'!$B:$B,"PERDA")</f>
        <v>0</v>
      </c>
      <c r="F3" s="36">
        <f>SUMIFS('MOVIMENTAÇÃO'!$E:$E,'MOVIMENTAÇÃO'!$C:$C,A3,'MOVIMENTAÇÃO'!$B:$B,"PERDA")</f>
        <v>0</v>
      </c>
      <c r="G3" s="36">
        <f t="shared" si="2"/>
        <v>0</v>
      </c>
      <c r="H3" s="37"/>
      <c r="I3" s="34"/>
    </row>
    <row r="4" ht="22.5" customHeight="1">
      <c r="A4" s="22" t="s">
        <v>27</v>
      </c>
      <c r="B4" s="25">
        <f>SUMIFS('MOVIMENTAÇÃO'!$D:$D,'MOVIMENTAÇÃO'!$C:$C,A4,'MOVIMENTAÇÃO'!$B:$B,"ENTRADA")</f>
        <v>25</v>
      </c>
      <c r="C4" s="26">
        <f>SUMIFS('MOVIMENTAÇÃO'!$D:$D,'MOVIMENTAÇÃO'!$C:$C,A4,'MOVIMENTAÇÃO'!$B:$B,"SAIDA")</f>
        <v>1</v>
      </c>
      <c r="D4" s="28">
        <f t="shared" si="1"/>
        <v>24</v>
      </c>
      <c r="E4" s="25">
        <f>SUMIFS('MOVIMENTAÇÃO'!$D:$D,'MOVIMENTAÇÃO'!$C:$C,A4,'MOVIMENTAÇÃO'!$B:$B,"PERDA")</f>
        <v>0</v>
      </c>
      <c r="F4" s="36">
        <f>SUMIFS('MOVIMENTAÇÃO'!$E:$E,'MOVIMENTAÇÃO'!$C:$C,A4,'MOVIMENTAÇÃO'!$B:$B,"PERDA")</f>
        <v>0</v>
      </c>
      <c r="G4" s="36">
        <f t="shared" si="2"/>
        <v>0</v>
      </c>
      <c r="I4" s="34"/>
      <c r="J4" s="40"/>
    </row>
    <row r="5" ht="22.5" customHeight="1">
      <c r="A5" s="22" t="s">
        <v>31</v>
      </c>
      <c r="B5" s="25">
        <f>SUMIFS('MOVIMENTAÇÃO'!$D:$D,'MOVIMENTAÇÃO'!$C:$C,A5,'MOVIMENTAÇÃO'!$B:$B,"ENTRADA")</f>
        <v>500</v>
      </c>
      <c r="C5" s="26">
        <f>SUMIFS('MOVIMENTAÇÃO'!$D:$D,'MOVIMENTAÇÃO'!$C:$C,A5,'MOVIMENTAÇÃO'!$B:$B,"SAIDA")</f>
        <v>391</v>
      </c>
      <c r="D5" s="28">
        <f t="shared" si="1"/>
        <v>109</v>
      </c>
      <c r="E5" s="25">
        <f>SUMIFS('MOVIMENTAÇÃO'!$D:$D,'MOVIMENTAÇÃO'!$C:$C,A5,'MOVIMENTAÇÃO'!$B:$B,"PERDA")</f>
        <v>0</v>
      </c>
      <c r="F5" s="36">
        <f>SUMIFS('MOVIMENTAÇÃO'!$E:$E,'MOVIMENTAÇÃO'!$C:$C,A5,'MOVIMENTAÇÃO'!$B:$B,"PERDA")</f>
        <v>0</v>
      </c>
      <c r="G5" s="36">
        <f t="shared" si="2"/>
        <v>0</v>
      </c>
      <c r="I5" s="34"/>
      <c r="J5" s="40"/>
    </row>
    <row r="6" ht="22.5" customHeight="1">
      <c r="A6" s="22" t="s">
        <v>33</v>
      </c>
      <c r="B6" s="25">
        <f>SUMIFS('MOVIMENTAÇÃO'!$D:$D,'MOVIMENTAÇÃO'!$C:$C,A6,'MOVIMENTAÇÃO'!$B:$B,"ENTRADA")</f>
        <v>4515</v>
      </c>
      <c r="C6" s="26">
        <f>SUMIFS('MOVIMENTAÇÃO'!$D:$D,'MOVIMENTAÇÃO'!$C:$C,A6,'MOVIMENTAÇÃO'!$B:$B,"SAIDA")</f>
        <v>4362</v>
      </c>
      <c r="D6" s="28">
        <f t="shared" si="1"/>
        <v>153</v>
      </c>
      <c r="E6" s="25">
        <f>SUMIFS('MOVIMENTAÇÃO'!$D:$D,'MOVIMENTAÇÃO'!$C:$C,A6,'MOVIMENTAÇÃO'!$B:$B,"PERDA")</f>
        <v>428</v>
      </c>
      <c r="F6" s="36">
        <f>SUMIFS('MOVIMENTAÇÃO'!$E:$E,'MOVIMENTAÇÃO'!$C:$C,A6,'MOVIMENTAÇÃO'!$B:$B,"PERDA")</f>
        <v>35.95</v>
      </c>
      <c r="G6" s="36">
        <f t="shared" si="2"/>
        <v>15386.6</v>
      </c>
      <c r="I6" s="34"/>
      <c r="J6" s="40"/>
    </row>
    <row r="7" ht="22.5" customHeight="1">
      <c r="A7" s="22" t="s">
        <v>36</v>
      </c>
      <c r="B7" s="25">
        <f>SUMIFS('MOVIMENTAÇÃO'!$D:$D,'MOVIMENTAÇÃO'!$C:$C,A7,'MOVIMENTAÇÃO'!$B:$B,"ENTRADA")</f>
        <v>113</v>
      </c>
      <c r="C7" s="26">
        <f>SUMIFS('MOVIMENTAÇÃO'!$D:$D,'MOVIMENTAÇÃO'!$C:$C,A7,'MOVIMENTAÇÃO'!$B:$B,"SAIDA")</f>
        <v>62</v>
      </c>
      <c r="D7" s="28">
        <f t="shared" si="1"/>
        <v>51</v>
      </c>
      <c r="E7" s="25">
        <f>SUMIFS('MOVIMENTAÇÃO'!$D:$D,'MOVIMENTAÇÃO'!$C:$C,A7,'MOVIMENTAÇÃO'!$B:$B,"PERDA")</f>
        <v>0</v>
      </c>
      <c r="F7" s="36">
        <f>SUMIFS('MOVIMENTAÇÃO'!$E:$E,'MOVIMENTAÇÃO'!$C:$C,A7,'MOVIMENTAÇÃO'!$B:$B,"PERDA")</f>
        <v>0</v>
      </c>
      <c r="G7" s="36">
        <f t="shared" si="2"/>
        <v>0</v>
      </c>
      <c r="I7" s="34"/>
      <c r="J7" s="40"/>
    </row>
    <row r="8" ht="22.5" customHeight="1">
      <c r="A8" s="22" t="s">
        <v>38</v>
      </c>
      <c r="B8" s="25">
        <f>SUMIFS('MOVIMENTAÇÃO'!$D:$D,'MOVIMENTAÇÃO'!$C:$C,A8,'MOVIMENTAÇÃO'!$B:$B,"ENTRADA")</f>
        <v>45</v>
      </c>
      <c r="C8" s="26">
        <f>SUMIFS('MOVIMENTAÇÃO'!$D:$D,'MOVIMENTAÇÃO'!$C:$C,A8,'MOVIMENTAÇÃO'!$B:$B,"SAIDA")</f>
        <v>0</v>
      </c>
      <c r="D8" s="28">
        <f t="shared" si="1"/>
        <v>45</v>
      </c>
      <c r="E8" s="25">
        <f>SUMIFS('MOVIMENTAÇÃO'!$D:$D,'MOVIMENTAÇÃO'!$C:$C,A8,'MOVIMENTAÇÃO'!$B:$B,"PERDA")</f>
        <v>0</v>
      </c>
      <c r="F8" s="36">
        <f>SUMIFS('MOVIMENTAÇÃO'!$E:$E,'MOVIMENTAÇÃO'!$C:$C,A8,'MOVIMENTAÇÃO'!$B:$B,"PERDA")</f>
        <v>0</v>
      </c>
      <c r="G8" s="36">
        <f t="shared" si="2"/>
        <v>0</v>
      </c>
      <c r="I8" s="34"/>
      <c r="J8" s="40"/>
    </row>
    <row r="9" ht="22.5" customHeight="1">
      <c r="A9" s="22" t="s">
        <v>40</v>
      </c>
      <c r="B9" s="25">
        <f>SUMIFS('MOVIMENTAÇÃO'!$D:$D,'MOVIMENTAÇÃO'!$C:$C,A9,'MOVIMENTAÇÃO'!$B:$B,"ENTRADA")</f>
        <v>100</v>
      </c>
      <c r="C9" s="26">
        <f>SUMIFS('MOVIMENTAÇÃO'!$D:$D,'MOVIMENTAÇÃO'!$C:$C,A9,'MOVIMENTAÇÃO'!$B:$B,"SAIDA")</f>
        <v>72</v>
      </c>
      <c r="D9" s="28">
        <f t="shared" si="1"/>
        <v>28</v>
      </c>
      <c r="E9" s="25">
        <f>SUMIFS('MOVIMENTAÇÃO'!$D:$D,'MOVIMENTAÇÃO'!$C:$C,A9,'MOVIMENTAÇÃO'!$B:$B,"PERDA")</f>
        <v>0</v>
      </c>
      <c r="F9" s="36">
        <f>SUMIFS('MOVIMENTAÇÃO'!$E:$E,'MOVIMENTAÇÃO'!$C:$C,A9,'MOVIMENTAÇÃO'!$B:$B,"PERDA")</f>
        <v>0</v>
      </c>
      <c r="G9" s="36">
        <f t="shared" si="2"/>
        <v>0</v>
      </c>
      <c r="I9" s="34"/>
      <c r="J9" s="40"/>
    </row>
    <row r="10" ht="22.5" customHeight="1">
      <c r="A10" s="22" t="s">
        <v>44</v>
      </c>
      <c r="B10" s="25">
        <f>SUMIFS('MOVIMENTAÇÃO'!$D:$D,'MOVIMENTAÇÃO'!$C:$C,A10,'MOVIMENTAÇÃO'!$B:$B,"ENTRADA")</f>
        <v>224</v>
      </c>
      <c r="C10" s="26">
        <f>SUMIFS('MOVIMENTAÇÃO'!$D:$D,'MOVIMENTAÇÃO'!$C:$C,A10,'MOVIMENTAÇÃO'!$B:$B,"SAIDA")</f>
        <v>224</v>
      </c>
      <c r="D10" s="28">
        <f t="shared" si="1"/>
        <v>0</v>
      </c>
      <c r="E10" s="25">
        <f>SUMIFS('MOVIMENTAÇÃO'!$D:$D,'MOVIMENTAÇÃO'!$C:$C,A10,'MOVIMENTAÇÃO'!$B:$B,"PERDA")</f>
        <v>0</v>
      </c>
      <c r="F10" s="36">
        <f>SUMIFS('MOVIMENTAÇÃO'!$E:$E,'MOVIMENTAÇÃO'!$C:$C,A10,'MOVIMENTAÇÃO'!$B:$B,"PERDA")</f>
        <v>0</v>
      </c>
      <c r="G10" s="36">
        <f t="shared" si="2"/>
        <v>0</v>
      </c>
      <c r="I10" s="34"/>
      <c r="J10" s="40"/>
    </row>
    <row r="11" ht="22.5" customHeight="1">
      <c r="A11" s="22" t="s">
        <v>49</v>
      </c>
      <c r="B11" s="25">
        <f>SUMIFS('MOVIMENTAÇÃO'!$D:$D,'MOVIMENTAÇÃO'!$C:$C,A11,'MOVIMENTAÇÃO'!$B:$B,"ENTRADA")</f>
        <v>203</v>
      </c>
      <c r="C11" s="26">
        <f>SUMIFS('MOVIMENTAÇÃO'!$D:$D,'MOVIMENTAÇÃO'!$C:$C,A11,'MOVIMENTAÇÃO'!$B:$B,"SAIDA")</f>
        <v>177</v>
      </c>
      <c r="D11" s="28">
        <f t="shared" si="1"/>
        <v>26</v>
      </c>
      <c r="E11" s="25">
        <f>SUMIFS('MOVIMENTAÇÃO'!$D:$D,'MOVIMENTAÇÃO'!$C:$C,A11,'MOVIMENTAÇÃO'!$B:$B,"PERDA")</f>
        <v>0</v>
      </c>
      <c r="F11" s="36">
        <f>SUMIFS('MOVIMENTAÇÃO'!$E:$E,'MOVIMENTAÇÃO'!$C:$C,A11,'MOVIMENTAÇÃO'!$B:$B,"PERDA")</f>
        <v>0</v>
      </c>
      <c r="G11" s="36">
        <f t="shared" si="2"/>
        <v>0</v>
      </c>
      <c r="I11" s="34"/>
      <c r="J11" s="40"/>
    </row>
    <row r="12" ht="22.5" customHeight="1">
      <c r="A12" s="22" t="s">
        <v>52</v>
      </c>
      <c r="B12" s="25">
        <f>SUMIFS('MOVIMENTAÇÃO'!$D:$D,'MOVIMENTAÇÃO'!$C:$C,A12,'MOVIMENTAÇÃO'!$B:$B,"ENTRADA")</f>
        <v>50</v>
      </c>
      <c r="C12" s="26">
        <f>SUMIFS('MOVIMENTAÇÃO'!$D:$D,'MOVIMENTAÇÃO'!$C:$C,A12,'MOVIMENTAÇÃO'!$B:$B,"SAIDA")</f>
        <v>25</v>
      </c>
      <c r="D12" s="28">
        <f t="shared" si="1"/>
        <v>25</v>
      </c>
      <c r="E12" s="25">
        <f>SUMIFS('MOVIMENTAÇÃO'!$D:$D,'MOVIMENTAÇÃO'!$C:$C,A12,'MOVIMENTAÇÃO'!$B:$B,"PERDA")</f>
        <v>0</v>
      </c>
      <c r="F12" s="36">
        <f>SUMIFS('MOVIMENTAÇÃO'!$E:$E,'MOVIMENTAÇÃO'!$C:$C,A12,'MOVIMENTAÇÃO'!$B:$B,"PERDA")</f>
        <v>0</v>
      </c>
      <c r="G12" s="36">
        <f t="shared" si="2"/>
        <v>0</v>
      </c>
      <c r="I12" s="34"/>
      <c r="J12" s="40"/>
    </row>
    <row r="13" ht="22.5" customHeight="1">
      <c r="A13" s="22" t="s">
        <v>55</v>
      </c>
      <c r="B13" s="25">
        <f>SUMIFS('MOVIMENTAÇÃO'!$D:$D,'MOVIMENTAÇÃO'!$C:$C,A13,'MOVIMENTAÇÃO'!$B:$B,"ENTRADA")</f>
        <v>9</v>
      </c>
      <c r="C13" s="26">
        <f>SUMIFS('MOVIMENTAÇÃO'!$D:$D,'MOVIMENTAÇÃO'!$C:$C,A13,'MOVIMENTAÇÃO'!$B:$B,"SAIDA")</f>
        <v>0</v>
      </c>
      <c r="D13" s="28">
        <f t="shared" si="1"/>
        <v>9</v>
      </c>
      <c r="E13" s="25">
        <f>SUMIFS('MOVIMENTAÇÃO'!$D:$D,'MOVIMENTAÇÃO'!$C:$C,A13,'MOVIMENTAÇÃO'!$B:$B,"PERDA")</f>
        <v>0</v>
      </c>
      <c r="F13" s="36">
        <f>SUMIFS('MOVIMENTAÇÃO'!$E:$E,'MOVIMENTAÇÃO'!$C:$C,A13,'MOVIMENTAÇÃO'!$B:$B,"PERDA")</f>
        <v>0</v>
      </c>
      <c r="G13" s="36">
        <f t="shared" si="2"/>
        <v>0</v>
      </c>
      <c r="I13" s="34"/>
      <c r="J13" s="40"/>
    </row>
    <row r="14" ht="22.5" customHeight="1">
      <c r="A14" s="22" t="s">
        <v>58</v>
      </c>
      <c r="B14" s="25">
        <f>SUMIFS('MOVIMENTAÇÃO'!$D:$D,'MOVIMENTAÇÃO'!$C:$C,A14,'MOVIMENTAÇÃO'!$B:$B,"ENTRADA")</f>
        <v>342</v>
      </c>
      <c r="C14" s="26">
        <f>SUMIFS('MOVIMENTAÇÃO'!$D:$D,'MOVIMENTAÇÃO'!$C:$C,A14,'MOVIMENTAÇÃO'!$B:$B,"SAIDA")</f>
        <v>267</v>
      </c>
      <c r="D14" s="28">
        <f t="shared" si="1"/>
        <v>75</v>
      </c>
      <c r="E14" s="25">
        <f>SUMIFS('MOVIMENTAÇÃO'!$D:$D,'MOVIMENTAÇÃO'!$C:$C,A14,'MOVIMENTAÇÃO'!$B:$B,"PERDA")</f>
        <v>0</v>
      </c>
      <c r="F14" s="36">
        <f>SUMIFS('MOVIMENTAÇÃO'!$E:$E,'MOVIMENTAÇÃO'!$C:$C,A14,'MOVIMENTAÇÃO'!$B:$B,"PERDA")</f>
        <v>0</v>
      </c>
      <c r="G14" s="36">
        <f t="shared" si="2"/>
        <v>0</v>
      </c>
      <c r="I14" s="34"/>
      <c r="J14" s="40"/>
    </row>
    <row r="15" ht="22.5" customHeight="1">
      <c r="A15" s="22" t="s">
        <v>61</v>
      </c>
      <c r="B15" s="25">
        <f>SUMIFS('MOVIMENTAÇÃO'!$D:$D,'MOVIMENTAÇÃO'!$C:$C,A15,'MOVIMENTAÇÃO'!$B:$B,"ENTRADA")</f>
        <v>441</v>
      </c>
      <c r="C15" s="26">
        <f>SUMIFS('MOVIMENTAÇÃO'!$D:$D,'MOVIMENTAÇÃO'!$C:$C,A15,'MOVIMENTAÇÃO'!$B:$B,"SAIDA")</f>
        <v>383</v>
      </c>
      <c r="D15" s="28">
        <f t="shared" si="1"/>
        <v>58</v>
      </c>
      <c r="E15" s="25">
        <f>SUMIFS('MOVIMENTAÇÃO'!$D:$D,'MOVIMENTAÇÃO'!$C:$C,A15,'MOVIMENTAÇÃO'!$B:$B,"PERDA")</f>
        <v>0</v>
      </c>
      <c r="F15" s="36">
        <f>SUMIFS('MOVIMENTAÇÃO'!$E:$E,'MOVIMENTAÇÃO'!$C:$C,A15,'MOVIMENTAÇÃO'!$B:$B,"PERDA")</f>
        <v>0</v>
      </c>
      <c r="G15" s="36">
        <f t="shared" si="2"/>
        <v>0</v>
      </c>
      <c r="I15" s="34"/>
      <c r="J15" s="40"/>
    </row>
    <row r="16" ht="22.5" customHeight="1">
      <c r="A16" s="22" t="s">
        <v>64</v>
      </c>
      <c r="B16" s="25">
        <f>SUMIFS('MOVIMENTAÇÃO'!$D:$D,'MOVIMENTAÇÃO'!$C:$C,A16,'MOVIMENTAÇÃO'!$B:$B,"ENTRADA")</f>
        <v>13</v>
      </c>
      <c r="C16" s="26">
        <f>SUMIFS('MOVIMENTAÇÃO'!$D:$D,'MOVIMENTAÇÃO'!$C:$C,A16,'MOVIMENTAÇÃO'!$B:$B,"SAIDA")</f>
        <v>0</v>
      </c>
      <c r="D16" s="28">
        <f t="shared" si="1"/>
        <v>13</v>
      </c>
      <c r="E16" s="25">
        <f>SUMIFS('MOVIMENTAÇÃO'!$D:$D,'MOVIMENTAÇÃO'!$C:$C,A16,'MOVIMENTAÇÃO'!$B:$B,"PERDA")</f>
        <v>0</v>
      </c>
      <c r="F16" s="36">
        <f>SUMIFS('MOVIMENTAÇÃO'!$E:$E,'MOVIMENTAÇÃO'!$C:$C,A16,'MOVIMENTAÇÃO'!$B:$B,"PERDA")</f>
        <v>0</v>
      </c>
      <c r="G16" s="36">
        <f t="shared" si="2"/>
        <v>0</v>
      </c>
      <c r="I16" s="34"/>
      <c r="J16" s="40"/>
    </row>
    <row r="17" ht="22.5" customHeight="1">
      <c r="A17" s="22" t="s">
        <v>66</v>
      </c>
      <c r="B17" s="25">
        <f>SUMIFS('MOVIMENTAÇÃO'!$D:$D,'MOVIMENTAÇÃO'!$C:$C,A17,'MOVIMENTAÇÃO'!$B:$B,"ENTRADA")</f>
        <v>2207</v>
      </c>
      <c r="C17" s="26">
        <f>SUMIFS('MOVIMENTAÇÃO'!$D:$D,'MOVIMENTAÇÃO'!$C:$C,A17,'MOVIMENTAÇÃO'!$B:$B,"SAIDA")</f>
        <v>2064</v>
      </c>
      <c r="D17" s="28">
        <f t="shared" si="1"/>
        <v>143</v>
      </c>
      <c r="E17" s="25">
        <f>SUMIFS('MOVIMENTAÇÃO'!$D:$D,'MOVIMENTAÇÃO'!$C:$C,A17,'MOVIMENTAÇÃO'!$B:$B,"PERDA")</f>
        <v>0</v>
      </c>
      <c r="F17" s="36">
        <f>SUMIFS('MOVIMENTAÇÃO'!$E:$E,'MOVIMENTAÇÃO'!$C:$C,A17,'MOVIMENTAÇÃO'!$B:$B,"PERDA")</f>
        <v>0</v>
      </c>
      <c r="G17" s="36">
        <f t="shared" si="2"/>
        <v>0</v>
      </c>
      <c r="I17" s="34"/>
      <c r="J17" s="40"/>
    </row>
    <row r="18" ht="22.5" customHeight="1">
      <c r="A18" s="22" t="s">
        <v>70</v>
      </c>
      <c r="B18" s="25">
        <f>SUMIFS('MOVIMENTAÇÃO'!$D:$D,'MOVIMENTAÇÃO'!$C:$C,A18,'MOVIMENTAÇÃO'!$B:$B,"ENTRADA")</f>
        <v>287</v>
      </c>
      <c r="C18" s="26">
        <f>SUMIFS('MOVIMENTAÇÃO'!$D:$D,'MOVIMENTAÇÃO'!$C:$C,A18,'MOVIMENTAÇÃO'!$B:$B,"SAIDA")</f>
        <v>276</v>
      </c>
      <c r="D18" s="28">
        <f t="shared" si="1"/>
        <v>11</v>
      </c>
      <c r="E18" s="25">
        <f>SUMIFS('MOVIMENTAÇÃO'!$D:$D,'MOVIMENTAÇÃO'!$C:$C,A18,'MOVIMENTAÇÃO'!$B:$B,"PERDA")</f>
        <v>0</v>
      </c>
      <c r="F18" s="36">
        <f>SUMIFS('MOVIMENTAÇÃO'!$E:$E,'MOVIMENTAÇÃO'!$C:$C,A18,'MOVIMENTAÇÃO'!$B:$B,"PERDA")</f>
        <v>0</v>
      </c>
      <c r="G18" s="36">
        <f t="shared" si="2"/>
        <v>0</v>
      </c>
      <c r="I18" s="34"/>
    </row>
    <row r="19" ht="22.5" customHeight="1">
      <c r="A19" s="22" t="s">
        <v>73</v>
      </c>
      <c r="B19" s="25">
        <f>SUMIFS('MOVIMENTAÇÃO'!$D:$D,'MOVIMENTAÇÃO'!$C:$C,A19,'MOVIMENTAÇÃO'!$B:$B,"ENTRADA")</f>
        <v>91</v>
      </c>
      <c r="C19" s="26">
        <f>SUMIFS('MOVIMENTAÇÃO'!$D:$D,'MOVIMENTAÇÃO'!$C:$C,A19,'MOVIMENTAÇÃO'!$B:$B,"SAIDA")</f>
        <v>86</v>
      </c>
      <c r="D19" s="28">
        <f t="shared" si="1"/>
        <v>5</v>
      </c>
      <c r="E19" s="25">
        <f>SUMIFS('MOVIMENTAÇÃO'!$D:$D,'MOVIMENTAÇÃO'!$C:$C,A19,'MOVIMENTAÇÃO'!$B:$B,"PERDA")</f>
        <v>0</v>
      </c>
      <c r="F19" s="36">
        <f>SUMIFS('MOVIMENTAÇÃO'!$E:$E,'MOVIMENTAÇÃO'!$C:$C,A19,'MOVIMENTAÇÃO'!$B:$B,"PERDA")</f>
        <v>0</v>
      </c>
      <c r="G19" s="36">
        <f t="shared" si="2"/>
        <v>0</v>
      </c>
      <c r="I19" s="34"/>
    </row>
    <row r="20" ht="22.5" customHeight="1">
      <c r="A20" s="22" t="s">
        <v>76</v>
      </c>
      <c r="B20" s="25">
        <f>SUMIFS('MOVIMENTAÇÃO'!$D:$D,'MOVIMENTAÇÃO'!$C:$C,A20,'MOVIMENTAÇÃO'!$B:$B,"ENTRADA")</f>
        <v>72</v>
      </c>
      <c r="C20" s="26">
        <f>SUMIFS('MOVIMENTAÇÃO'!$D:$D,'MOVIMENTAÇÃO'!$C:$C,A20,'MOVIMENTAÇÃO'!$B:$B,"SAIDA")</f>
        <v>21</v>
      </c>
      <c r="D20" s="28">
        <f t="shared" si="1"/>
        <v>51</v>
      </c>
      <c r="E20" s="25">
        <f>SUMIFS('MOVIMENTAÇÃO'!$D:$D,'MOVIMENTAÇÃO'!$C:$C,A20,'MOVIMENTAÇÃO'!$B:$B,"PERDA")</f>
        <v>0</v>
      </c>
      <c r="F20" s="36">
        <f>SUMIFS('MOVIMENTAÇÃO'!$E:$E,'MOVIMENTAÇÃO'!$C:$C,A20,'MOVIMENTAÇÃO'!$B:$B,"PERDA")</f>
        <v>0</v>
      </c>
      <c r="G20" s="36">
        <f t="shared" si="2"/>
        <v>0</v>
      </c>
      <c r="I20" s="34"/>
    </row>
    <row r="21" ht="22.5" customHeight="1">
      <c r="A21" s="22" t="s">
        <v>80</v>
      </c>
      <c r="B21" s="25">
        <f>SUMIFS('MOVIMENTAÇÃO'!$D:$D,'MOVIMENTAÇÃO'!$C:$C,A21,'MOVIMENTAÇÃO'!$B:$B,"ENTRADA")</f>
        <v>294</v>
      </c>
      <c r="C21" s="26">
        <f>SUMIFS('MOVIMENTAÇÃO'!$D:$D,'MOVIMENTAÇÃO'!$C:$C,A21,'MOVIMENTAÇÃO'!$B:$B,"SAIDA")</f>
        <v>273</v>
      </c>
      <c r="D21" s="28">
        <f t="shared" si="1"/>
        <v>21</v>
      </c>
      <c r="E21" s="25">
        <f>SUMIFS('MOVIMENTAÇÃO'!$D:$D,'MOVIMENTAÇÃO'!$C:$C,A21,'MOVIMENTAÇÃO'!$B:$B,"PERDA")</f>
        <v>0</v>
      </c>
      <c r="F21" s="36">
        <f>SUMIFS('MOVIMENTAÇÃO'!$E:$E,'MOVIMENTAÇÃO'!$C:$C,A21,'MOVIMENTAÇÃO'!$B:$B,"PERDA")</f>
        <v>0</v>
      </c>
      <c r="G21" s="36">
        <f t="shared" si="2"/>
        <v>0</v>
      </c>
      <c r="I21" s="34"/>
    </row>
    <row r="22" ht="22.5" customHeight="1">
      <c r="A22" s="22" t="s">
        <v>83</v>
      </c>
      <c r="B22" s="25">
        <f>SUMIFS('MOVIMENTAÇÃO'!$D:$D,'MOVIMENTAÇÃO'!$C:$C,A22,'MOVIMENTAÇÃO'!$B:$B,"ENTRADA")</f>
        <v>16</v>
      </c>
      <c r="C22" s="26">
        <f>SUMIFS('MOVIMENTAÇÃO'!$D:$D,'MOVIMENTAÇÃO'!$C:$C,A22,'MOVIMENTAÇÃO'!$B:$B,"SAIDA")</f>
        <v>0</v>
      </c>
      <c r="D22" s="28">
        <f t="shared" si="1"/>
        <v>16</v>
      </c>
      <c r="E22" s="25">
        <f>SUMIFS('MOVIMENTAÇÃO'!$D:$D,'MOVIMENTAÇÃO'!$C:$C,A22,'MOVIMENTAÇÃO'!$B:$B,"PERDA")</f>
        <v>0</v>
      </c>
      <c r="F22" s="36">
        <f>SUMIFS('MOVIMENTAÇÃO'!$E:$E,'MOVIMENTAÇÃO'!$C:$C,A22,'MOVIMENTAÇÃO'!$B:$B,"PERDA")</f>
        <v>0</v>
      </c>
      <c r="G22" s="36">
        <f t="shared" si="2"/>
        <v>0</v>
      </c>
      <c r="I22" s="34"/>
    </row>
    <row r="23" ht="22.5" customHeight="1">
      <c r="A23" s="22" t="s">
        <v>85</v>
      </c>
      <c r="B23" s="25">
        <f>SUMIFS('MOVIMENTAÇÃO'!$D:$D,'MOVIMENTAÇÃO'!$C:$C,A23,'MOVIMENTAÇÃO'!$B:$B,"ENTRADA")</f>
        <v>350</v>
      </c>
      <c r="C23" s="26">
        <f>SUMIFS('MOVIMENTAÇÃO'!$D:$D,'MOVIMENTAÇÃO'!$C:$C,A23,'MOVIMENTAÇÃO'!$B:$B,"SAIDA")</f>
        <v>286</v>
      </c>
      <c r="D23" s="28">
        <f t="shared" si="1"/>
        <v>64</v>
      </c>
      <c r="E23" s="25">
        <f>SUMIFS('MOVIMENTAÇÃO'!$D:$D,'MOVIMENTAÇÃO'!$C:$C,A23,'MOVIMENTAÇÃO'!$B:$B,"PERDA")</f>
        <v>0</v>
      </c>
      <c r="F23" s="36">
        <f>SUMIFS('MOVIMENTAÇÃO'!$E:$E,'MOVIMENTAÇÃO'!$C:$C,A23,'MOVIMENTAÇÃO'!$B:$B,"PERDA")</f>
        <v>0</v>
      </c>
      <c r="G23" s="36">
        <f t="shared" si="2"/>
        <v>0</v>
      </c>
      <c r="I23" s="34"/>
    </row>
    <row r="24" ht="22.5" customHeight="1">
      <c r="A24" s="22" t="s">
        <v>88</v>
      </c>
      <c r="B24" s="25">
        <f>SUMIFS('MOVIMENTAÇÃO'!$D:$D,'MOVIMENTAÇÃO'!$C:$C,A24,'MOVIMENTAÇÃO'!$B:$B,"ENTRADA")</f>
        <v>60</v>
      </c>
      <c r="C24" s="26">
        <f>SUMIFS('MOVIMENTAÇÃO'!$D:$D,'MOVIMENTAÇÃO'!$C:$C,A24,'MOVIMENTAÇÃO'!$B:$B,"SAIDA")</f>
        <v>0</v>
      </c>
      <c r="D24" s="28">
        <f t="shared" si="1"/>
        <v>60</v>
      </c>
      <c r="E24" s="25">
        <f>SUMIFS('MOVIMENTAÇÃO'!$D:$D,'MOVIMENTAÇÃO'!$C:$C,A24,'MOVIMENTAÇÃO'!$B:$B,"PERDA")</f>
        <v>0</v>
      </c>
      <c r="F24" s="36">
        <f>SUMIFS('MOVIMENTAÇÃO'!$E:$E,'MOVIMENTAÇÃO'!$C:$C,A24,'MOVIMENTAÇÃO'!$B:$B,"PERDA")</f>
        <v>0</v>
      </c>
      <c r="G24" s="36">
        <f t="shared" si="2"/>
        <v>0</v>
      </c>
      <c r="I24" s="34"/>
    </row>
    <row r="25" ht="22.5" customHeight="1">
      <c r="A25" s="22" t="s">
        <v>90</v>
      </c>
      <c r="B25" s="25">
        <f>SUMIFS('MOVIMENTAÇÃO'!$D:$D,'MOVIMENTAÇÃO'!$C:$C,A25,'MOVIMENTAÇÃO'!$B:$B,"ENTRADA")</f>
        <v>210</v>
      </c>
      <c r="C25" s="26">
        <f>SUMIFS('MOVIMENTAÇÃO'!$D:$D,'MOVIMENTAÇÃO'!$C:$C,A25,'MOVIMENTAÇÃO'!$B:$B,"SAIDA")</f>
        <v>151</v>
      </c>
      <c r="D25" s="28">
        <f t="shared" si="1"/>
        <v>59</v>
      </c>
      <c r="E25" s="25">
        <f>SUMIFS('MOVIMENTAÇÃO'!$D:$D,'MOVIMENTAÇÃO'!$C:$C,A25,'MOVIMENTAÇÃO'!$B:$B,"PERDA")</f>
        <v>0</v>
      </c>
      <c r="F25" s="36">
        <f>SUMIFS('MOVIMENTAÇÃO'!$E:$E,'MOVIMENTAÇÃO'!$C:$C,A25,'MOVIMENTAÇÃO'!$B:$B,"PERDA")</f>
        <v>0</v>
      </c>
      <c r="G25" s="36">
        <f t="shared" si="2"/>
        <v>0</v>
      </c>
      <c r="I25" s="34"/>
    </row>
    <row r="26" ht="22.5" customHeight="1">
      <c r="A26" s="22" t="s">
        <v>93</v>
      </c>
      <c r="B26" s="25">
        <f>SUMIFS('MOVIMENTAÇÃO'!$D:$D,'MOVIMENTAÇÃO'!$C:$C,A26,'MOVIMENTAÇÃO'!$B:$B,"ENTRADA")</f>
        <v>551</v>
      </c>
      <c r="C26" s="26">
        <f>SUMIFS('MOVIMENTAÇÃO'!$D:$D,'MOVIMENTAÇÃO'!$C:$C,A26,'MOVIMENTAÇÃO'!$B:$B,"SAIDA")</f>
        <v>504</v>
      </c>
      <c r="D26" s="28">
        <f t="shared" si="1"/>
        <v>47</v>
      </c>
      <c r="E26" s="25">
        <f>SUMIFS('MOVIMENTAÇÃO'!$D:$D,'MOVIMENTAÇÃO'!$C:$C,A26,'MOVIMENTAÇÃO'!$B:$B,"PERDA")</f>
        <v>0</v>
      </c>
      <c r="F26" s="36">
        <f>SUMIFS('MOVIMENTAÇÃO'!$E:$E,'MOVIMENTAÇÃO'!$C:$C,A26,'MOVIMENTAÇÃO'!$B:$B,"PERDA")</f>
        <v>0</v>
      </c>
      <c r="G26" s="36">
        <f t="shared" si="2"/>
        <v>0</v>
      </c>
      <c r="I26" s="34"/>
    </row>
    <row r="27" ht="22.5" customHeight="1">
      <c r="A27" s="22" t="s">
        <v>95</v>
      </c>
      <c r="B27" s="25">
        <f>SUMIFS('MOVIMENTAÇÃO'!$D:$D,'MOVIMENTAÇÃO'!$C:$C,A27,'MOVIMENTAÇÃO'!$B:$B,"ENTRADA")</f>
        <v>107</v>
      </c>
      <c r="C27" s="26">
        <f>SUMIFS('MOVIMENTAÇÃO'!$D:$D,'MOVIMENTAÇÃO'!$C:$C,A27,'MOVIMENTAÇÃO'!$B:$B,"SAIDA")</f>
        <v>107</v>
      </c>
      <c r="D27" s="28">
        <f t="shared" si="1"/>
        <v>0</v>
      </c>
      <c r="E27" s="25">
        <f>SUMIFS('MOVIMENTAÇÃO'!$D:$D,'MOVIMENTAÇÃO'!$C:$C,A27,'MOVIMENTAÇÃO'!$B:$B,"PERDA")</f>
        <v>0</v>
      </c>
      <c r="F27" s="36">
        <f>SUMIFS('MOVIMENTAÇÃO'!$E:$E,'MOVIMENTAÇÃO'!$C:$C,A27,'MOVIMENTAÇÃO'!$B:$B,"PERDA")</f>
        <v>0</v>
      </c>
      <c r="G27" s="36">
        <f t="shared" si="2"/>
        <v>0</v>
      </c>
      <c r="I27" s="34"/>
    </row>
    <row r="28" ht="22.5" customHeight="1">
      <c r="A28" s="22" t="s">
        <v>98</v>
      </c>
      <c r="B28" s="25">
        <f>SUMIFS('MOVIMENTAÇÃO'!$D:$D,'MOVIMENTAÇÃO'!$C:$C,A28,'MOVIMENTAÇÃO'!$B:$B,"ENTRADA")</f>
        <v>4</v>
      </c>
      <c r="C28" s="26">
        <f>SUMIFS('MOVIMENTAÇÃO'!$D:$D,'MOVIMENTAÇÃO'!$C:$C,A28,'MOVIMENTAÇÃO'!$B:$B,"SAIDA")</f>
        <v>4</v>
      </c>
      <c r="D28" s="28">
        <f t="shared" si="1"/>
        <v>0</v>
      </c>
      <c r="E28" s="25">
        <f>SUMIFS('MOVIMENTAÇÃO'!$D:$D,'MOVIMENTAÇÃO'!$C:$C,A28,'MOVIMENTAÇÃO'!$B:$B,"PERDA")</f>
        <v>4</v>
      </c>
      <c r="F28" s="36">
        <f>SUMIFS('MOVIMENTAÇÃO'!$E:$E,'MOVIMENTAÇÃO'!$C:$C,A28,'MOVIMENTAÇÃO'!$B:$B,"PERDA")</f>
        <v>135.6</v>
      </c>
      <c r="G28" s="36">
        <f t="shared" si="2"/>
        <v>542.4</v>
      </c>
      <c r="I28" s="34"/>
    </row>
    <row r="29" ht="22.5" customHeight="1">
      <c r="A29" s="22" t="s">
        <v>100</v>
      </c>
      <c r="B29" s="25">
        <f>SUMIFS('MOVIMENTAÇÃO'!$D:$D,'MOVIMENTAÇÃO'!$C:$C,A29,'MOVIMENTAÇÃO'!$B:$B,"ENTRADA")</f>
        <v>30</v>
      </c>
      <c r="C29" s="26">
        <f>SUMIFS('MOVIMENTAÇÃO'!$D:$D,'MOVIMENTAÇÃO'!$C:$C,A29,'MOVIMENTAÇÃO'!$B:$B,"SAIDA")</f>
        <v>21</v>
      </c>
      <c r="D29" s="28">
        <f t="shared" si="1"/>
        <v>9</v>
      </c>
      <c r="E29" s="25">
        <f>SUMIFS('MOVIMENTAÇÃO'!$D:$D,'MOVIMENTAÇÃO'!$C:$C,A29,'MOVIMENTAÇÃO'!$B:$B,"PERDA")</f>
        <v>0</v>
      </c>
      <c r="F29" s="36">
        <f>SUMIFS('MOVIMENTAÇÃO'!$E:$E,'MOVIMENTAÇÃO'!$C:$C,A29,'MOVIMENTAÇÃO'!$B:$B,"PERDA")</f>
        <v>0</v>
      </c>
      <c r="G29" s="36">
        <f t="shared" si="2"/>
        <v>0</v>
      </c>
      <c r="I29" s="34"/>
    </row>
    <row r="30" ht="22.5" customHeight="1">
      <c r="A30" s="22" t="s">
        <v>103</v>
      </c>
      <c r="B30" s="25">
        <f>SUMIFS('MOVIMENTAÇÃO'!$D:$D,'MOVIMENTAÇÃO'!$C:$C,A30,'MOVIMENTAÇÃO'!$B:$B,"ENTRADA")</f>
        <v>7</v>
      </c>
      <c r="C30" s="48">
        <f>SUMIFS('MOVIMENTAÇÃO'!$D:$D,'MOVIMENTAÇÃO'!$C:$C,A30,'MOVIMENTAÇÃO'!$B:$B,"SAIDA")</f>
        <v>2</v>
      </c>
      <c r="D30" s="28">
        <f t="shared" si="1"/>
        <v>5</v>
      </c>
      <c r="E30" s="25">
        <f>SUMIFS('MOVIMENTAÇÃO'!$D:$D,'MOVIMENTAÇÃO'!$C:$C,A30,'MOVIMENTAÇÃO'!$B:$B,"PERDA")</f>
        <v>0</v>
      </c>
      <c r="F30" s="36">
        <f>SUMIFS('MOVIMENTAÇÃO'!$E:$E,'MOVIMENTAÇÃO'!$C:$C,A30,'MOVIMENTAÇÃO'!$B:$B,"PERDA")</f>
        <v>0</v>
      </c>
      <c r="G30" s="36">
        <f t="shared" si="2"/>
        <v>0</v>
      </c>
      <c r="I30" s="34"/>
    </row>
    <row r="31" ht="22.5" customHeight="1">
      <c r="A31" s="22" t="s">
        <v>106</v>
      </c>
      <c r="B31" s="25">
        <f>SUMIFS('MOVIMENTAÇÃO'!$D:$D,'MOVIMENTAÇÃO'!$C:$C,A31,'MOVIMENTAÇÃO'!$B:$B,"ENTRADA")</f>
        <v>13</v>
      </c>
      <c r="C31" s="26">
        <f>SUMIFS('MOVIMENTAÇÃO'!$D:$D,'MOVIMENTAÇÃO'!$C:$C,A31,'MOVIMENTAÇÃO'!$B:$B,"SAIDA")</f>
        <v>13</v>
      </c>
      <c r="D31" s="28">
        <f t="shared" si="1"/>
        <v>0</v>
      </c>
      <c r="E31" s="25">
        <f>SUMIFS('MOVIMENTAÇÃO'!$D:$D,'MOVIMENTAÇÃO'!$C:$C,A31,'MOVIMENTAÇÃO'!$B:$B,"PERDA")</f>
        <v>0</v>
      </c>
      <c r="F31" s="36">
        <f>SUMIFS('MOVIMENTAÇÃO'!$E:$E,'MOVIMENTAÇÃO'!$C:$C,A31,'MOVIMENTAÇÃO'!$B:$B,"PERDA")</f>
        <v>0</v>
      </c>
      <c r="G31" s="36">
        <f t="shared" si="2"/>
        <v>0</v>
      </c>
      <c r="I31" s="34"/>
    </row>
    <row r="32" ht="22.5" customHeight="1">
      <c r="A32" s="22" t="s">
        <v>109</v>
      </c>
      <c r="B32" s="25">
        <f>SUMIFS('MOVIMENTAÇÃO'!$D:$D,'MOVIMENTAÇÃO'!$C:$C,A32,'MOVIMENTAÇÃO'!$B:$B,"ENTRADA")</f>
        <v>9</v>
      </c>
      <c r="C32" s="26">
        <f>SUMIFS('MOVIMENTAÇÃO'!$D:$D,'MOVIMENTAÇÃO'!$C:$C,A32,'MOVIMENTAÇÃO'!$B:$B,"SAIDA")</f>
        <v>7</v>
      </c>
      <c r="D32" s="28">
        <f t="shared" si="1"/>
        <v>2</v>
      </c>
      <c r="E32" s="25">
        <f>SUMIFS('MOVIMENTAÇÃO'!$D:$D,'MOVIMENTAÇÃO'!$C:$C,A32,'MOVIMENTAÇÃO'!$B:$B,"PERDA")</f>
        <v>0</v>
      </c>
      <c r="F32" s="36">
        <f>SUMIFS('MOVIMENTAÇÃO'!$E:$E,'MOVIMENTAÇÃO'!$C:$C,A32,'MOVIMENTAÇÃO'!$B:$B,"PERDA")</f>
        <v>0</v>
      </c>
      <c r="G32" s="36">
        <f t="shared" si="2"/>
        <v>0</v>
      </c>
      <c r="I32" s="34"/>
    </row>
    <row r="33" ht="22.5" customHeight="1">
      <c r="A33" s="22" t="s">
        <v>112</v>
      </c>
      <c r="B33" s="25">
        <f>SUMIFS('MOVIMENTAÇÃO'!$D:$D,'MOVIMENTAÇÃO'!$C:$C,A33,'MOVIMENTAÇÃO'!$B:$B,"ENTRADA")</f>
        <v>25</v>
      </c>
      <c r="C33" s="26">
        <f>SUMIFS('MOVIMENTAÇÃO'!$D:$D,'MOVIMENTAÇÃO'!$C:$C,A33,'MOVIMENTAÇÃO'!$B:$B,"SAIDA")</f>
        <v>13</v>
      </c>
      <c r="D33" s="28">
        <f t="shared" si="1"/>
        <v>12</v>
      </c>
      <c r="E33" s="25">
        <f>SUMIFS('MOVIMENTAÇÃO'!$D:$D,'MOVIMENTAÇÃO'!$C:$C,A33,'MOVIMENTAÇÃO'!$B:$B,"PERDA")</f>
        <v>0</v>
      </c>
      <c r="F33" s="36">
        <f>SUMIFS('MOVIMENTAÇÃO'!$E:$E,'MOVIMENTAÇÃO'!$C:$C,A33,'MOVIMENTAÇÃO'!$B:$B,"PERDA")</f>
        <v>0</v>
      </c>
      <c r="G33" s="36">
        <f t="shared" si="2"/>
        <v>0</v>
      </c>
      <c r="I33" s="34"/>
    </row>
    <row r="34" ht="22.5" customHeight="1">
      <c r="A34" s="22" t="s">
        <v>116</v>
      </c>
      <c r="B34" s="25">
        <f>SUMIFS('MOVIMENTAÇÃO'!$D:$D,'MOVIMENTAÇÃO'!$C:$C,A34,'MOVIMENTAÇÃO'!$B:$B,"ENTRADA")</f>
        <v>46</v>
      </c>
      <c r="C34" s="48">
        <f>SUMIFS('MOVIMENTAÇÃO'!$D:$D,'MOVIMENTAÇÃO'!$C:$C,A34,'MOVIMENTAÇÃO'!$B:$B,"SAIDA")</f>
        <v>25</v>
      </c>
      <c r="D34" s="28">
        <f t="shared" si="1"/>
        <v>21</v>
      </c>
      <c r="E34" s="25">
        <f>SUMIFS('MOVIMENTAÇÃO'!$D:$D,'MOVIMENTAÇÃO'!$C:$C,A34,'MOVIMENTAÇÃO'!$B:$B,"PERDA")</f>
        <v>0</v>
      </c>
      <c r="F34" s="36">
        <f>SUMIFS('MOVIMENTAÇÃO'!$E:$E,'MOVIMENTAÇÃO'!$C:$C,A34,'MOVIMENTAÇÃO'!$B:$B,"PERDA")</f>
        <v>0</v>
      </c>
      <c r="G34" s="36">
        <f t="shared" si="2"/>
        <v>0</v>
      </c>
      <c r="I34" s="34"/>
    </row>
    <row r="35" ht="22.5" customHeight="1">
      <c r="A35" s="22" t="s">
        <v>119</v>
      </c>
      <c r="B35" s="25">
        <f>SUMIFS('MOVIMENTAÇÃO'!$D:$D,'MOVIMENTAÇÃO'!$C:$C,A35,'MOVIMENTAÇÃO'!$B:$B,"ENTRADA")</f>
        <v>315</v>
      </c>
      <c r="C35" s="26">
        <f>SUMIFS('MOVIMENTAÇÃO'!$D:$D,'MOVIMENTAÇÃO'!$C:$C,A35,'MOVIMENTAÇÃO'!$B:$B,"SAIDA")</f>
        <v>282</v>
      </c>
      <c r="D35" s="28">
        <f t="shared" si="1"/>
        <v>33</v>
      </c>
      <c r="E35" s="25">
        <f>SUMIFS('MOVIMENTAÇÃO'!$D:$D,'MOVIMENTAÇÃO'!$C:$C,A35,'MOVIMENTAÇÃO'!$B:$B,"PERDA")</f>
        <v>0</v>
      </c>
      <c r="F35" s="36">
        <f>SUMIFS('MOVIMENTAÇÃO'!$E:$E,'MOVIMENTAÇÃO'!$C:$C,A35,'MOVIMENTAÇÃO'!$B:$B,"PERDA")</f>
        <v>0</v>
      </c>
      <c r="G35" s="36">
        <f t="shared" si="2"/>
        <v>0</v>
      </c>
      <c r="I35" s="34"/>
    </row>
    <row r="36" ht="22.5" customHeight="1">
      <c r="A36" s="22" t="s">
        <v>122</v>
      </c>
      <c r="B36" s="25">
        <f>SUMIFS('MOVIMENTAÇÃO'!$D:$D,'MOVIMENTAÇÃO'!$C:$C,A36,'MOVIMENTAÇÃO'!$B:$B,"ENTRADA")</f>
        <v>251</v>
      </c>
      <c r="C36" s="26">
        <f>SUMIFS('MOVIMENTAÇÃO'!$D:$D,'MOVIMENTAÇÃO'!$C:$C,A36,'MOVIMENTAÇÃO'!$B:$B,"SAIDA")</f>
        <v>0</v>
      </c>
      <c r="D36" s="28">
        <f t="shared" si="1"/>
        <v>251</v>
      </c>
      <c r="E36" s="25">
        <f>SUMIFS('MOVIMENTAÇÃO'!$D:$D,'MOVIMENTAÇÃO'!$C:$C,A36,'MOVIMENTAÇÃO'!$B:$B,"PERDA")</f>
        <v>0</v>
      </c>
      <c r="F36" s="36">
        <f>SUMIFS('MOVIMENTAÇÃO'!$E:$E,'MOVIMENTAÇÃO'!$C:$C,A36,'MOVIMENTAÇÃO'!$B:$B,"PERDA")</f>
        <v>0</v>
      </c>
      <c r="G36" s="36">
        <f t="shared" si="2"/>
        <v>0</v>
      </c>
      <c r="I36" s="34"/>
    </row>
    <row r="37" ht="22.5" customHeight="1">
      <c r="A37" s="22" t="s">
        <v>125</v>
      </c>
      <c r="B37" s="25">
        <f>SUMIFS('MOVIMENTAÇÃO'!$D:$D,'MOVIMENTAÇÃO'!$C:$C,A37,'MOVIMENTAÇÃO'!$B:$B,"ENTRADA")</f>
        <v>90</v>
      </c>
      <c r="C37" s="26">
        <f>SUMIFS('MOVIMENTAÇÃO'!$D:$D,'MOVIMENTAÇÃO'!$C:$C,A37,'MOVIMENTAÇÃO'!$B:$B,"SAIDA")</f>
        <v>75</v>
      </c>
      <c r="D37" s="28">
        <f t="shared" si="1"/>
        <v>15</v>
      </c>
      <c r="E37" s="25">
        <f>SUMIFS('MOVIMENTAÇÃO'!$D:$D,'MOVIMENTAÇÃO'!$C:$C,A37,'MOVIMENTAÇÃO'!$B:$B,"PERDA")</f>
        <v>0</v>
      </c>
      <c r="F37" s="36">
        <f>SUMIFS('MOVIMENTAÇÃO'!$E:$E,'MOVIMENTAÇÃO'!$C:$C,A37,'MOVIMENTAÇÃO'!$B:$B,"PERDA")</f>
        <v>0</v>
      </c>
      <c r="G37" s="36">
        <f t="shared" si="2"/>
        <v>0</v>
      </c>
      <c r="I37" s="34"/>
    </row>
    <row r="38" ht="22.5" customHeight="1">
      <c r="A38" s="22" t="s">
        <v>128</v>
      </c>
      <c r="B38" s="25">
        <f>SUMIFS('MOVIMENTAÇÃO'!$D:$D,'MOVIMENTAÇÃO'!$C:$C,A38,'MOVIMENTAÇÃO'!$B:$B,"ENTRADA")</f>
        <v>40</v>
      </c>
      <c r="C38" s="48">
        <f>SUMIFS('MOVIMENTAÇÃO'!$D:$D,'MOVIMENTAÇÃO'!$C:$C,A38,'MOVIMENTAÇÃO'!$B:$B,"SAIDA")</f>
        <v>17</v>
      </c>
      <c r="D38" s="28">
        <f t="shared" si="1"/>
        <v>23</v>
      </c>
      <c r="E38" s="25">
        <f>SUMIFS('MOVIMENTAÇÃO'!$D:$D,'MOVIMENTAÇÃO'!$C:$C,A38,'MOVIMENTAÇÃO'!$B:$B,"PERDA")</f>
        <v>0</v>
      </c>
      <c r="F38" s="36">
        <f>SUMIFS('MOVIMENTAÇÃO'!$E:$E,'MOVIMENTAÇÃO'!$C:$C,A38,'MOVIMENTAÇÃO'!$B:$B,"PERDA")</f>
        <v>0</v>
      </c>
      <c r="G38" s="36">
        <f t="shared" si="2"/>
        <v>0</v>
      </c>
      <c r="I38" s="34"/>
    </row>
    <row r="39" ht="22.5" customHeight="1">
      <c r="A39" s="22"/>
      <c r="B39" s="25">
        <f>SUMIFS('MOVIMENTAÇÃO'!$D:$D,'MOVIMENTAÇÃO'!$C:$C,A39,'MOVIMENTAÇÃO'!$B:$B,"ENTRADA")</f>
        <v>0</v>
      </c>
      <c r="C39" s="26">
        <f>SUMIFS('MOVIMENTAÇÃO'!$D:$D,'MOVIMENTAÇÃO'!$C:$C,A39,'MOVIMENTAÇÃO'!$B:$B,"SAIDA")</f>
        <v>0</v>
      </c>
      <c r="D39" s="28">
        <f t="shared" si="1"/>
        <v>0</v>
      </c>
      <c r="E39" s="25">
        <f>SUMIFS('MOVIMENTAÇÃO'!$D:$D,'MOVIMENTAÇÃO'!$C:$C,A39,'MOVIMENTAÇÃO'!$B:$B,"PERDA")</f>
        <v>0</v>
      </c>
      <c r="F39" s="36">
        <f>SUMIFS('MOVIMENTAÇÃO'!$E:$E,'MOVIMENTAÇÃO'!$C:$C,A39,'MOVIMENTAÇÃO'!$B:$B,"PERDA")</f>
        <v>0</v>
      </c>
      <c r="G39" s="36">
        <f t="shared" si="2"/>
        <v>0</v>
      </c>
      <c r="I39" s="34"/>
    </row>
    <row r="40" ht="22.5" customHeight="1">
      <c r="A40" s="35"/>
      <c r="B40" s="35"/>
      <c r="C40" s="35"/>
      <c r="D40" s="50"/>
      <c r="F40" s="51">
        <f>SUMIFS('MOVIMENTAÇÃO'!$E:$E,'MOVIMENTAÇÃO'!$C:$C,A40,'MOVIMENTAÇÃO'!$B:$B,"PERDA")</f>
        <v>0</v>
      </c>
      <c r="G40" s="51">
        <f t="shared" si="2"/>
        <v>0</v>
      </c>
      <c r="I40" s="34"/>
    </row>
    <row r="41" ht="22.5" customHeight="1">
      <c r="A41" s="35"/>
      <c r="B41" s="35"/>
      <c r="C41" s="35"/>
      <c r="D41" s="50"/>
      <c r="F41" s="51">
        <f>SUMIFS('MOVIMENTAÇÃO'!$E:$E,'MOVIMENTAÇÃO'!$C:$C,A41,'MOVIMENTAÇÃO'!$B:$B,"PERDA")</f>
        <v>0</v>
      </c>
      <c r="G41" s="51">
        <f t="shared" si="2"/>
        <v>0</v>
      </c>
      <c r="I41" s="34"/>
    </row>
    <row r="42" ht="22.5" customHeight="1">
      <c r="A42" s="35"/>
      <c r="B42" s="35"/>
      <c r="C42" s="35"/>
      <c r="D42" s="50"/>
      <c r="F42" s="51">
        <f>SUMIFS('MOVIMENTAÇÃO'!$E:$E,'MOVIMENTAÇÃO'!$C:$C,A42,'MOVIMENTAÇÃO'!$B:$B,"PERDA")</f>
        <v>0</v>
      </c>
      <c r="G42" s="51">
        <f t="shared" si="2"/>
        <v>0</v>
      </c>
      <c r="I42" s="34"/>
    </row>
    <row r="43" ht="22.5" customHeight="1">
      <c r="A43" s="35"/>
      <c r="B43" s="35"/>
      <c r="C43" s="35"/>
      <c r="D43" s="50"/>
      <c r="F43" s="51">
        <f>SUMIFS('MOVIMENTAÇÃO'!$E:$E,'MOVIMENTAÇÃO'!$C:$C,A43,'MOVIMENTAÇÃO'!$B:$B,"PERDA")</f>
        <v>0</v>
      </c>
      <c r="G43" s="51">
        <f t="shared" si="2"/>
        <v>0</v>
      </c>
      <c r="I43" s="34"/>
    </row>
    <row r="44" ht="22.5" customHeight="1">
      <c r="A44" s="35"/>
      <c r="B44" s="35"/>
      <c r="C44" s="35"/>
      <c r="D44" s="50"/>
      <c r="F44" s="51">
        <f>SUMIFS('MOVIMENTAÇÃO'!$E:$E,'MOVIMENTAÇÃO'!$C:$C,A44,'MOVIMENTAÇÃO'!$B:$B,"PERDA")</f>
        <v>0</v>
      </c>
      <c r="G44" s="51">
        <f t="shared" si="2"/>
        <v>0</v>
      </c>
      <c r="I44" s="34"/>
    </row>
    <row r="45" ht="22.5" customHeight="1">
      <c r="A45" s="35"/>
      <c r="B45" s="35"/>
      <c r="C45" s="35"/>
      <c r="D45" s="50"/>
      <c r="F45" s="51">
        <f>SUMIFS('MOVIMENTAÇÃO'!$E:$E,'MOVIMENTAÇÃO'!$C:$C,A45,'MOVIMENTAÇÃO'!$B:$B,"PERDA")</f>
        <v>0</v>
      </c>
      <c r="G45" s="51">
        <f t="shared" si="2"/>
        <v>0</v>
      </c>
      <c r="I45" s="34"/>
    </row>
    <row r="46" ht="22.5" customHeight="1">
      <c r="A46" s="35"/>
      <c r="B46" s="35"/>
      <c r="C46" s="35"/>
      <c r="D46" s="50"/>
      <c r="F46" s="51">
        <f>SUMIFS('MOVIMENTAÇÃO'!$E:$E,'MOVIMENTAÇÃO'!$C:$C,A46,'MOVIMENTAÇÃO'!$B:$B,"PERDA")</f>
        <v>0</v>
      </c>
      <c r="G46" s="51">
        <f t="shared" si="2"/>
        <v>0</v>
      </c>
      <c r="I46" s="34"/>
    </row>
    <row r="47" ht="22.5" customHeight="1">
      <c r="A47" s="35"/>
      <c r="B47" s="35"/>
      <c r="C47" s="35"/>
      <c r="D47" s="50"/>
      <c r="F47" s="51">
        <f>SUMIFS('MOVIMENTAÇÃO'!$E:$E,'MOVIMENTAÇÃO'!$C:$C,A47,'MOVIMENTAÇÃO'!$B:$B,"PERDA")</f>
        <v>0</v>
      </c>
      <c r="G47" s="51">
        <f t="shared" si="2"/>
        <v>0</v>
      </c>
      <c r="I47" s="34"/>
    </row>
    <row r="48" ht="22.5" customHeight="1">
      <c r="A48" s="35"/>
      <c r="B48" s="35"/>
      <c r="C48" s="35"/>
      <c r="D48" s="50"/>
      <c r="F48" s="51">
        <f>SUMIFS('MOVIMENTAÇÃO'!$E:$E,'MOVIMENTAÇÃO'!$C:$C,A48,'MOVIMENTAÇÃO'!$B:$B,"PERDA")</f>
        <v>0</v>
      </c>
      <c r="G48" s="51">
        <f t="shared" si="2"/>
        <v>0</v>
      </c>
      <c r="I48" s="34"/>
    </row>
    <row r="49" ht="22.5" customHeight="1">
      <c r="A49" s="35"/>
      <c r="B49" s="35"/>
      <c r="C49" s="35"/>
      <c r="D49" s="50"/>
      <c r="F49" s="51">
        <f>SUMIFS('MOVIMENTAÇÃO'!$E:$E,'MOVIMENTAÇÃO'!$C:$C,A49,'MOVIMENTAÇÃO'!$B:$B,"PERDA")</f>
        <v>0</v>
      </c>
      <c r="G49" s="51">
        <f t="shared" si="2"/>
        <v>0</v>
      </c>
      <c r="I49" s="34"/>
    </row>
    <row r="50" ht="22.5" customHeight="1">
      <c r="A50" s="35"/>
      <c r="B50" s="35"/>
      <c r="C50" s="35"/>
      <c r="D50" s="50"/>
      <c r="F50" s="51">
        <f>SUMIFS('MOVIMENTAÇÃO'!$E:$E,'MOVIMENTAÇÃO'!$C:$C,A50,'MOVIMENTAÇÃO'!$B:$B,"PERDA")</f>
        <v>0</v>
      </c>
      <c r="G50" s="51">
        <f t="shared" si="2"/>
        <v>0</v>
      </c>
      <c r="I50" s="34"/>
    </row>
    <row r="51" ht="22.5" customHeight="1">
      <c r="A51" s="35"/>
      <c r="B51" s="35"/>
      <c r="C51" s="35"/>
      <c r="D51" s="50"/>
      <c r="F51" s="51">
        <f>SUMIFS('MOVIMENTAÇÃO'!$E:$E,'MOVIMENTAÇÃO'!$C:$C,A51,'MOVIMENTAÇÃO'!$B:$B,"PERDA")</f>
        <v>0</v>
      </c>
      <c r="G51" s="51">
        <f t="shared" si="2"/>
        <v>0</v>
      </c>
      <c r="I51" s="34"/>
    </row>
    <row r="52" ht="22.5" customHeight="1">
      <c r="A52" s="35"/>
      <c r="B52" s="35"/>
      <c r="C52" s="35"/>
      <c r="D52" s="50"/>
      <c r="F52" s="51">
        <f>SUMIFS('MOVIMENTAÇÃO'!$E:$E,'MOVIMENTAÇÃO'!$C:$C,A52,'MOVIMENTAÇÃO'!$B:$B,"PERDA")</f>
        <v>0</v>
      </c>
      <c r="G52" s="51">
        <f t="shared" si="2"/>
        <v>0</v>
      </c>
      <c r="I52" s="34"/>
    </row>
    <row r="53" ht="22.5" customHeight="1">
      <c r="A53" s="35"/>
      <c r="B53" s="35"/>
      <c r="C53" s="35"/>
      <c r="D53" s="50"/>
      <c r="F53" s="51">
        <f>SUMIFS('MOVIMENTAÇÃO'!$E:$E,'MOVIMENTAÇÃO'!$C:$C,A53,'MOVIMENTAÇÃO'!$B:$B,"PERDA")</f>
        <v>0</v>
      </c>
      <c r="G53" s="51">
        <f t="shared" si="2"/>
        <v>0</v>
      </c>
      <c r="I53" s="34"/>
    </row>
    <row r="54" ht="22.5" customHeight="1">
      <c r="A54" s="35"/>
      <c r="B54" s="35"/>
      <c r="C54" s="35"/>
      <c r="D54" s="50"/>
      <c r="F54" s="51">
        <f>SUMIFS('MOVIMENTAÇÃO'!$E:$E,'MOVIMENTAÇÃO'!$C:$C,A54,'MOVIMENTAÇÃO'!$B:$B,"PERDA")</f>
        <v>0</v>
      </c>
      <c r="G54" s="51">
        <f t="shared" si="2"/>
        <v>0</v>
      </c>
      <c r="I54" s="34"/>
    </row>
    <row r="55" ht="22.5" customHeight="1">
      <c r="A55" s="35"/>
      <c r="B55" s="35"/>
      <c r="C55" s="35"/>
      <c r="D55" s="50"/>
      <c r="F55" s="51">
        <f>SUMIFS('MOVIMENTAÇÃO'!$E:$E,'MOVIMENTAÇÃO'!$C:$C,A55,'MOVIMENTAÇÃO'!$B:$B,"PERDA")</f>
        <v>0</v>
      </c>
      <c r="G55" s="51">
        <f t="shared" si="2"/>
        <v>0</v>
      </c>
      <c r="I55" s="34"/>
    </row>
    <row r="56" ht="22.5" customHeight="1">
      <c r="A56" s="35"/>
      <c r="B56" s="35"/>
      <c r="C56" s="35"/>
      <c r="D56" s="50"/>
      <c r="F56" s="51">
        <f>SUMIFS('MOVIMENTAÇÃO'!$E:$E,'MOVIMENTAÇÃO'!$C:$C,A56,'MOVIMENTAÇÃO'!$B:$B,"PERDA")</f>
        <v>0</v>
      </c>
      <c r="G56" s="51">
        <f t="shared" si="2"/>
        <v>0</v>
      </c>
      <c r="I56" s="34"/>
    </row>
    <row r="57" ht="22.5" customHeight="1">
      <c r="A57" s="35"/>
      <c r="B57" s="35"/>
      <c r="C57" s="35"/>
      <c r="D57" s="50"/>
      <c r="F57" s="51">
        <f>SUMIFS('MOVIMENTAÇÃO'!$E:$E,'MOVIMENTAÇÃO'!$C:$C,A57,'MOVIMENTAÇÃO'!$B:$B,"PERDA")</f>
        <v>0</v>
      </c>
      <c r="G57" s="51">
        <f t="shared" si="2"/>
        <v>0</v>
      </c>
      <c r="I57" s="34"/>
    </row>
    <row r="58" ht="22.5" customHeight="1">
      <c r="A58" s="35"/>
      <c r="B58" s="35"/>
      <c r="C58" s="35"/>
      <c r="D58" s="50"/>
      <c r="F58" s="51">
        <f>SUMIFS('MOVIMENTAÇÃO'!$E:$E,'MOVIMENTAÇÃO'!$C:$C,A58,'MOVIMENTAÇÃO'!$B:$B,"PERDA")</f>
        <v>0</v>
      </c>
      <c r="G58" s="51">
        <f t="shared" si="2"/>
        <v>0</v>
      </c>
      <c r="I58" s="34"/>
    </row>
    <row r="59" ht="22.5" customHeight="1">
      <c r="A59" s="35"/>
      <c r="B59" s="35"/>
      <c r="C59" s="35"/>
      <c r="D59" s="50"/>
      <c r="F59" s="51">
        <f>SUMIFS('MOVIMENTAÇÃO'!$E:$E,'MOVIMENTAÇÃO'!$C:$C,A59,'MOVIMENTAÇÃO'!$B:$B,"PERDA")</f>
        <v>0</v>
      </c>
      <c r="G59" s="51">
        <f t="shared" si="2"/>
        <v>0</v>
      </c>
      <c r="I59" s="34"/>
    </row>
    <row r="60" ht="22.5" customHeight="1">
      <c r="A60" s="35"/>
      <c r="B60" s="35"/>
      <c r="C60" s="35"/>
      <c r="D60" s="50"/>
      <c r="F60" s="51">
        <f>SUMIFS('MOVIMENTAÇÃO'!$E:$E,'MOVIMENTAÇÃO'!$C:$C,A60,'MOVIMENTAÇÃO'!$B:$B,"PERDA")</f>
        <v>0</v>
      </c>
      <c r="G60" s="51">
        <f t="shared" si="2"/>
        <v>0</v>
      </c>
      <c r="I60" s="34"/>
    </row>
    <row r="61" ht="22.5" customHeight="1">
      <c r="A61" s="35"/>
      <c r="B61" s="35"/>
      <c r="C61" s="35"/>
      <c r="D61" s="50"/>
      <c r="F61" s="51">
        <f>SUMIFS('MOVIMENTAÇÃO'!$E:$E,'MOVIMENTAÇÃO'!$C:$C,A61,'MOVIMENTAÇÃO'!$B:$B,"PERDA")</f>
        <v>0</v>
      </c>
      <c r="G61" s="51">
        <f t="shared" si="2"/>
        <v>0</v>
      </c>
      <c r="I61" s="34"/>
    </row>
    <row r="62" ht="22.5" customHeight="1">
      <c r="A62" s="35"/>
      <c r="B62" s="35"/>
      <c r="C62" s="35"/>
      <c r="D62" s="50"/>
      <c r="F62" s="51">
        <f>SUMIFS('MOVIMENTAÇÃO'!$E:$E,'MOVIMENTAÇÃO'!$C:$C,A62,'MOVIMENTAÇÃO'!$B:$B,"PERDA")</f>
        <v>0</v>
      </c>
      <c r="G62" s="51">
        <f t="shared" si="2"/>
        <v>0</v>
      </c>
      <c r="I62" s="34"/>
    </row>
    <row r="63" ht="22.5" customHeight="1">
      <c r="A63" s="35"/>
      <c r="B63" s="35"/>
      <c r="C63" s="35"/>
      <c r="D63" s="50"/>
      <c r="F63" s="51">
        <f>SUMIFS('MOVIMENTAÇÃO'!$E:$E,'MOVIMENTAÇÃO'!$C:$C,A63,'MOVIMENTAÇÃO'!$B:$B,"PERDA")</f>
        <v>0</v>
      </c>
      <c r="G63" s="51">
        <f t="shared" si="2"/>
        <v>0</v>
      </c>
      <c r="I63" s="34"/>
    </row>
    <row r="64" ht="22.5" customHeight="1">
      <c r="A64" s="35"/>
      <c r="B64" s="35"/>
      <c r="C64" s="35"/>
      <c r="D64" s="50"/>
      <c r="F64" s="51">
        <f>SUMIFS('MOVIMENTAÇÃO'!$E:$E,'MOVIMENTAÇÃO'!$C:$C,A64,'MOVIMENTAÇÃO'!$B:$B,"PERDA")</f>
        <v>0</v>
      </c>
      <c r="G64" s="51">
        <f t="shared" si="2"/>
        <v>0</v>
      </c>
      <c r="I64" s="34"/>
    </row>
    <row r="65" ht="22.5" customHeight="1">
      <c r="A65" s="35"/>
      <c r="B65" s="35"/>
      <c r="C65" s="35"/>
      <c r="D65" s="50"/>
      <c r="F65" s="51">
        <f>SUMIFS('MOVIMENTAÇÃO'!$E:$E,'MOVIMENTAÇÃO'!$C:$C,A65,'MOVIMENTAÇÃO'!$B:$B,"PERDA")</f>
        <v>0</v>
      </c>
      <c r="G65" s="51">
        <f t="shared" si="2"/>
        <v>0</v>
      </c>
      <c r="I65" s="34"/>
    </row>
    <row r="66" ht="22.5" customHeight="1">
      <c r="A66" s="35"/>
      <c r="B66" s="35"/>
      <c r="C66" s="35"/>
      <c r="D66" s="50"/>
      <c r="F66" s="51">
        <f>SUMIFS('MOVIMENTAÇÃO'!$E:$E,'MOVIMENTAÇÃO'!$C:$C,A66,'MOVIMENTAÇÃO'!$B:$B,"PERDA")</f>
        <v>0</v>
      </c>
      <c r="G66" s="51">
        <f t="shared" si="2"/>
        <v>0</v>
      </c>
      <c r="I66" s="34"/>
    </row>
    <row r="67" ht="22.5" customHeight="1">
      <c r="A67" s="35"/>
      <c r="B67" s="35"/>
      <c r="C67" s="35"/>
      <c r="D67" s="50"/>
      <c r="F67" s="51">
        <f>SUMIFS('MOVIMENTAÇÃO'!$E:$E,'MOVIMENTAÇÃO'!$C:$C,A67,'MOVIMENTAÇÃO'!$B:$B,"PERDA")</f>
        <v>0</v>
      </c>
      <c r="G67" s="51">
        <f t="shared" si="2"/>
        <v>0</v>
      </c>
      <c r="I67" s="34"/>
    </row>
    <row r="68" ht="22.5" customHeight="1">
      <c r="A68" s="35"/>
      <c r="B68" s="35"/>
      <c r="C68" s="35"/>
      <c r="D68" s="50"/>
      <c r="F68" s="51">
        <f>SUMIFS('MOVIMENTAÇÃO'!$E:$E,'MOVIMENTAÇÃO'!$C:$C,A68,'MOVIMENTAÇÃO'!$B:$B,"PERDA")</f>
        <v>0</v>
      </c>
      <c r="G68" s="51">
        <f t="shared" si="2"/>
        <v>0</v>
      </c>
      <c r="I68" s="34"/>
    </row>
    <row r="69" ht="22.5" customHeight="1">
      <c r="A69" s="35"/>
      <c r="B69" s="35"/>
      <c r="C69" s="35"/>
      <c r="D69" s="50"/>
      <c r="F69" s="51">
        <f>SUMIFS('MOVIMENTAÇÃO'!$E:$E,'MOVIMENTAÇÃO'!$C:$C,A69,'MOVIMENTAÇÃO'!$B:$B,"PERDA")</f>
        <v>0</v>
      </c>
      <c r="G69" s="51">
        <f t="shared" si="2"/>
        <v>0</v>
      </c>
      <c r="I69" s="34"/>
    </row>
    <row r="70" ht="22.5" customHeight="1">
      <c r="A70" s="35"/>
      <c r="B70" s="35"/>
      <c r="C70" s="35"/>
      <c r="D70" s="50"/>
      <c r="F70" s="51">
        <f>SUMIFS('MOVIMENTAÇÃO'!$E:$E,'MOVIMENTAÇÃO'!$C:$C,A70,'MOVIMENTAÇÃO'!$B:$B,"PERDA")</f>
        <v>0</v>
      </c>
      <c r="G70" s="51">
        <f t="shared" si="2"/>
        <v>0</v>
      </c>
      <c r="I70" s="34"/>
    </row>
    <row r="71" ht="22.5" customHeight="1">
      <c r="A71" s="35"/>
      <c r="B71" s="35"/>
      <c r="C71" s="35"/>
      <c r="D71" s="50"/>
      <c r="F71" s="51">
        <f>SUMIFS('MOVIMENTAÇÃO'!$E:$E,'MOVIMENTAÇÃO'!$C:$C,A71,'MOVIMENTAÇÃO'!$B:$B,"PERDA")</f>
        <v>0</v>
      </c>
      <c r="G71" s="51">
        <f t="shared" si="2"/>
        <v>0</v>
      </c>
      <c r="I71" s="34"/>
    </row>
    <row r="72" ht="22.5" customHeight="1">
      <c r="A72" s="35"/>
      <c r="B72" s="35"/>
      <c r="C72" s="35"/>
      <c r="D72" s="50"/>
      <c r="F72" s="51">
        <f>SUMIFS('MOVIMENTAÇÃO'!$E:$E,'MOVIMENTAÇÃO'!$C:$C,A72,'MOVIMENTAÇÃO'!$B:$B,"PERDA")</f>
        <v>0</v>
      </c>
      <c r="G72" s="51">
        <f t="shared" si="2"/>
        <v>0</v>
      </c>
      <c r="I72" s="34"/>
    </row>
    <row r="73" ht="22.5" customHeight="1">
      <c r="A73" s="35"/>
      <c r="B73" s="35"/>
      <c r="C73" s="35"/>
      <c r="D73" s="50"/>
      <c r="F73" s="51">
        <f>SUMIFS('MOVIMENTAÇÃO'!$E:$E,'MOVIMENTAÇÃO'!$C:$C,A73,'MOVIMENTAÇÃO'!$B:$B,"PERDA")</f>
        <v>0</v>
      </c>
      <c r="G73" s="51">
        <f t="shared" si="2"/>
        <v>0</v>
      </c>
      <c r="I73" s="34"/>
    </row>
    <row r="74" ht="22.5" customHeight="1">
      <c r="A74" s="35"/>
      <c r="B74" s="35"/>
      <c r="C74" s="35"/>
      <c r="D74" s="50"/>
      <c r="F74" s="51">
        <f>SUMIFS('MOVIMENTAÇÃO'!$E:$E,'MOVIMENTAÇÃO'!$C:$C,A74,'MOVIMENTAÇÃO'!$B:$B,"PERDA")</f>
        <v>0</v>
      </c>
      <c r="G74" s="51">
        <f t="shared" si="2"/>
        <v>0</v>
      </c>
      <c r="I74" s="34"/>
    </row>
    <row r="75" ht="22.5" customHeight="1">
      <c r="A75" s="35"/>
      <c r="B75" s="35"/>
      <c r="C75" s="35"/>
      <c r="D75" s="50"/>
      <c r="F75" s="51">
        <f>SUMIFS('MOVIMENTAÇÃO'!$E:$E,'MOVIMENTAÇÃO'!$C:$C,A75,'MOVIMENTAÇÃO'!$B:$B,"PERDA")</f>
        <v>0</v>
      </c>
      <c r="G75" s="51">
        <f t="shared" si="2"/>
        <v>0</v>
      </c>
      <c r="I75" s="34"/>
    </row>
    <row r="76" ht="22.5" customHeight="1">
      <c r="A76" s="35"/>
      <c r="B76" s="35"/>
      <c r="C76" s="35"/>
      <c r="D76" s="50"/>
      <c r="F76" s="51">
        <f>SUMIFS('MOVIMENTAÇÃO'!$E:$E,'MOVIMENTAÇÃO'!$C:$C,A76,'MOVIMENTAÇÃO'!$B:$B,"PERDA")</f>
        <v>0</v>
      </c>
      <c r="G76" s="51">
        <f t="shared" si="2"/>
        <v>0</v>
      </c>
      <c r="I76" s="34"/>
    </row>
    <row r="77" ht="22.5" customHeight="1">
      <c r="A77" s="35"/>
      <c r="B77" s="35"/>
      <c r="C77" s="35"/>
      <c r="D77" s="50"/>
      <c r="F77" s="51">
        <f>SUMIFS('MOVIMENTAÇÃO'!$E:$E,'MOVIMENTAÇÃO'!$C:$C,A77,'MOVIMENTAÇÃO'!$B:$B,"PERDA")</f>
        <v>0</v>
      </c>
      <c r="G77" s="51">
        <f t="shared" si="2"/>
        <v>0</v>
      </c>
      <c r="I77" s="34"/>
    </row>
    <row r="78" ht="22.5" customHeight="1">
      <c r="A78" s="35"/>
      <c r="B78" s="35"/>
      <c r="C78" s="35"/>
      <c r="D78" s="50"/>
      <c r="F78" s="51">
        <f>SUMIFS('MOVIMENTAÇÃO'!$E:$E,'MOVIMENTAÇÃO'!$C:$C,A78,'MOVIMENTAÇÃO'!$B:$B,"PERDA")</f>
        <v>0</v>
      </c>
      <c r="G78" s="51">
        <f t="shared" si="2"/>
        <v>0</v>
      </c>
      <c r="I78" s="34"/>
    </row>
    <row r="79" ht="22.5" customHeight="1">
      <c r="A79" s="35"/>
      <c r="B79" s="35"/>
      <c r="C79" s="35"/>
      <c r="D79" s="50"/>
      <c r="F79" s="51">
        <f>SUMIFS('MOVIMENTAÇÃO'!$E:$E,'MOVIMENTAÇÃO'!$C:$C,A79,'MOVIMENTAÇÃO'!$B:$B,"PERDA")</f>
        <v>0</v>
      </c>
      <c r="G79" s="51">
        <f t="shared" si="2"/>
        <v>0</v>
      </c>
      <c r="I79" s="34"/>
    </row>
    <row r="80" ht="22.5" customHeight="1">
      <c r="A80" s="35"/>
      <c r="B80" s="35"/>
      <c r="C80" s="35"/>
      <c r="D80" s="50"/>
      <c r="F80" s="51">
        <f>SUMIFS('MOVIMENTAÇÃO'!$E:$E,'MOVIMENTAÇÃO'!$C:$C,A80,'MOVIMENTAÇÃO'!$B:$B,"PERDA")</f>
        <v>0</v>
      </c>
      <c r="G80" s="51">
        <f t="shared" si="2"/>
        <v>0</v>
      </c>
      <c r="I80" s="34"/>
    </row>
    <row r="81" ht="22.5" customHeight="1">
      <c r="A81" s="35"/>
      <c r="B81" s="35"/>
      <c r="C81" s="35"/>
      <c r="D81" s="50"/>
      <c r="F81" s="51">
        <f>SUMIFS('MOVIMENTAÇÃO'!$E:$E,'MOVIMENTAÇÃO'!$C:$C,A81,'MOVIMENTAÇÃO'!$B:$B,"PERDA")</f>
        <v>0</v>
      </c>
      <c r="G81" s="51">
        <f t="shared" si="2"/>
        <v>0</v>
      </c>
      <c r="I81" s="34"/>
    </row>
    <row r="82" ht="22.5" customHeight="1">
      <c r="A82" s="35"/>
      <c r="B82" s="35"/>
      <c r="C82" s="35"/>
      <c r="D82" s="50"/>
      <c r="F82" s="51">
        <f>SUMIFS('MOVIMENTAÇÃO'!$E:$E,'MOVIMENTAÇÃO'!$C:$C,A82,'MOVIMENTAÇÃO'!$B:$B,"PERDA")</f>
        <v>0</v>
      </c>
      <c r="G82" s="51">
        <f t="shared" si="2"/>
        <v>0</v>
      </c>
      <c r="I82" s="34"/>
    </row>
    <row r="83" ht="22.5" customHeight="1">
      <c r="A83" s="35"/>
      <c r="B83" s="35"/>
      <c r="C83" s="35"/>
      <c r="D83" s="50"/>
      <c r="F83" s="51">
        <f>SUMIFS('MOVIMENTAÇÃO'!$E:$E,'MOVIMENTAÇÃO'!$C:$C,A83,'MOVIMENTAÇÃO'!$B:$B,"PERDA")</f>
        <v>0</v>
      </c>
      <c r="G83" s="51">
        <f t="shared" si="2"/>
        <v>0</v>
      </c>
      <c r="I83" s="34"/>
    </row>
    <row r="84" ht="22.5" customHeight="1">
      <c r="A84" s="35"/>
      <c r="B84" s="35"/>
      <c r="C84" s="35"/>
      <c r="D84" s="50"/>
      <c r="F84" s="51">
        <f>SUMIFS('MOVIMENTAÇÃO'!$E:$E,'MOVIMENTAÇÃO'!$C:$C,A84,'MOVIMENTAÇÃO'!$B:$B,"PERDA")</f>
        <v>0</v>
      </c>
      <c r="G84" s="51">
        <f t="shared" si="2"/>
        <v>0</v>
      </c>
      <c r="I84" s="34"/>
    </row>
    <row r="85" ht="22.5" customHeight="1">
      <c r="A85" s="35"/>
      <c r="B85" s="35"/>
      <c r="C85" s="35"/>
      <c r="D85" s="50"/>
      <c r="F85" s="51">
        <f>SUMIFS('MOVIMENTAÇÃO'!$E:$E,'MOVIMENTAÇÃO'!$C:$C,A85,'MOVIMENTAÇÃO'!$B:$B,"PERDA")</f>
        <v>0</v>
      </c>
      <c r="G85" s="51">
        <f t="shared" si="2"/>
        <v>0</v>
      </c>
      <c r="I85" s="34"/>
    </row>
    <row r="86" ht="22.5" customHeight="1">
      <c r="A86" s="35"/>
      <c r="B86" s="35"/>
      <c r="C86" s="35"/>
      <c r="D86" s="50"/>
      <c r="F86" s="51">
        <f>SUMIFS('MOVIMENTAÇÃO'!$E:$E,'MOVIMENTAÇÃO'!$C:$C,A86,'MOVIMENTAÇÃO'!$B:$B,"PERDA")</f>
        <v>0</v>
      </c>
      <c r="G86" s="51">
        <f t="shared" si="2"/>
        <v>0</v>
      </c>
      <c r="I86" s="34"/>
    </row>
    <row r="87" ht="22.5" customHeight="1">
      <c r="A87" s="35"/>
      <c r="B87" s="35"/>
      <c r="C87" s="35"/>
      <c r="D87" s="50"/>
      <c r="F87" s="51">
        <f>SUMIFS('MOVIMENTAÇÃO'!$E:$E,'MOVIMENTAÇÃO'!$C:$C,A87,'MOVIMENTAÇÃO'!$B:$B,"PERDA")</f>
        <v>0</v>
      </c>
      <c r="G87" s="51">
        <f t="shared" si="2"/>
        <v>0</v>
      </c>
      <c r="I87" s="34"/>
    </row>
    <row r="88" ht="22.5" customHeight="1">
      <c r="A88" s="35"/>
      <c r="B88" s="35"/>
      <c r="C88" s="35"/>
      <c r="D88" s="50"/>
      <c r="F88" s="51">
        <f>SUMIFS('MOVIMENTAÇÃO'!$E:$E,'MOVIMENTAÇÃO'!$C:$C,A88,'MOVIMENTAÇÃO'!$B:$B,"PERDA")</f>
        <v>0</v>
      </c>
      <c r="G88" s="51">
        <f t="shared" si="2"/>
        <v>0</v>
      </c>
      <c r="I88" s="34"/>
    </row>
    <row r="89" ht="22.5" customHeight="1">
      <c r="A89" s="35"/>
      <c r="B89" s="35"/>
      <c r="C89" s="35"/>
      <c r="D89" s="50"/>
      <c r="F89" s="51">
        <f>SUMIFS('MOVIMENTAÇÃO'!$E:$E,'MOVIMENTAÇÃO'!$C:$C,A89,'MOVIMENTAÇÃO'!$B:$B,"PERDA")</f>
        <v>0</v>
      </c>
      <c r="G89" s="51">
        <f t="shared" si="2"/>
        <v>0</v>
      </c>
      <c r="I89" s="34"/>
    </row>
    <row r="90" ht="22.5" customHeight="1">
      <c r="A90" s="35"/>
      <c r="B90" s="35"/>
      <c r="C90" s="35"/>
      <c r="D90" s="50"/>
      <c r="F90" s="51">
        <f>SUMIFS('MOVIMENTAÇÃO'!$E:$E,'MOVIMENTAÇÃO'!$C:$C,A90,'MOVIMENTAÇÃO'!$B:$B,"PERDA")</f>
        <v>0</v>
      </c>
      <c r="G90" s="51">
        <f t="shared" si="2"/>
        <v>0</v>
      </c>
      <c r="I90" s="34"/>
    </row>
    <row r="91" ht="22.5" customHeight="1">
      <c r="A91" s="35"/>
      <c r="B91" s="35"/>
      <c r="C91" s="35"/>
      <c r="D91" s="50"/>
      <c r="F91" s="51">
        <f>SUMIFS('MOVIMENTAÇÃO'!$E:$E,'MOVIMENTAÇÃO'!$C:$C,A91,'MOVIMENTAÇÃO'!$B:$B,"PERDA")</f>
        <v>0</v>
      </c>
      <c r="G91" s="51">
        <f t="shared" si="2"/>
        <v>0</v>
      </c>
      <c r="I91" s="34"/>
    </row>
    <row r="92" ht="22.5" customHeight="1">
      <c r="A92" s="35"/>
      <c r="B92" s="35"/>
      <c r="C92" s="35"/>
      <c r="D92" s="50"/>
      <c r="F92" s="51">
        <f>SUMIFS('MOVIMENTAÇÃO'!$E:$E,'MOVIMENTAÇÃO'!$C:$C,A92,'MOVIMENTAÇÃO'!$B:$B,"PERDA")</f>
        <v>0</v>
      </c>
      <c r="G92" s="51">
        <f t="shared" si="2"/>
        <v>0</v>
      </c>
      <c r="I92" s="34"/>
    </row>
    <row r="93" ht="22.5" customHeight="1">
      <c r="A93" s="35"/>
      <c r="B93" s="35"/>
      <c r="C93" s="35"/>
      <c r="D93" s="50"/>
      <c r="F93" s="51">
        <f>SUMIFS('MOVIMENTAÇÃO'!$E:$E,'MOVIMENTAÇÃO'!$C:$C,A93,'MOVIMENTAÇÃO'!$B:$B,"PERDA")</f>
        <v>0</v>
      </c>
      <c r="G93" s="51">
        <f t="shared" si="2"/>
        <v>0</v>
      </c>
      <c r="I93" s="34"/>
    </row>
    <row r="94" ht="22.5" customHeight="1">
      <c r="A94" s="35"/>
      <c r="B94" s="35"/>
      <c r="C94" s="35"/>
      <c r="D94" s="50"/>
      <c r="F94" s="51">
        <f>SUMIFS('MOVIMENTAÇÃO'!$E:$E,'MOVIMENTAÇÃO'!$C:$C,A94,'MOVIMENTAÇÃO'!$B:$B,"PERDA")</f>
        <v>0</v>
      </c>
      <c r="G94" s="51">
        <f t="shared" si="2"/>
        <v>0</v>
      </c>
      <c r="I94" s="34"/>
    </row>
    <row r="95" ht="22.5" customHeight="1">
      <c r="A95" s="35"/>
      <c r="B95" s="35"/>
      <c r="C95" s="35"/>
      <c r="D95" s="50"/>
      <c r="F95" s="51">
        <f>SUMIFS('MOVIMENTAÇÃO'!$E:$E,'MOVIMENTAÇÃO'!$C:$C,A95,'MOVIMENTAÇÃO'!$B:$B,"PERDA")</f>
        <v>0</v>
      </c>
      <c r="G95" s="51">
        <f t="shared" si="2"/>
        <v>0</v>
      </c>
      <c r="I95" s="34"/>
    </row>
    <row r="96" ht="22.5" customHeight="1">
      <c r="A96" s="35"/>
      <c r="B96" s="35"/>
      <c r="C96" s="35"/>
      <c r="D96" s="50"/>
      <c r="F96" s="51">
        <f>SUMIFS('MOVIMENTAÇÃO'!$E:$E,'MOVIMENTAÇÃO'!$C:$C,A96,'MOVIMENTAÇÃO'!$B:$B,"PERDA")</f>
        <v>0</v>
      </c>
      <c r="G96" s="51">
        <f t="shared" si="2"/>
        <v>0</v>
      </c>
      <c r="I96" s="34"/>
    </row>
    <row r="97" ht="22.5" customHeight="1">
      <c r="A97" s="35"/>
      <c r="B97" s="35"/>
      <c r="C97" s="35"/>
      <c r="D97" s="50"/>
      <c r="F97" s="51">
        <f>SUMIFS('MOVIMENTAÇÃO'!$E:$E,'MOVIMENTAÇÃO'!$C:$C,A97,'MOVIMENTAÇÃO'!$B:$B,"PERDA")</f>
        <v>0</v>
      </c>
      <c r="G97" s="51">
        <f t="shared" si="2"/>
        <v>0</v>
      </c>
      <c r="I97" s="34"/>
    </row>
    <row r="98" ht="22.5" customHeight="1">
      <c r="A98" s="35"/>
      <c r="B98" s="35"/>
      <c r="C98" s="35"/>
      <c r="D98" s="50"/>
      <c r="F98" s="51">
        <f>SUMIFS('MOVIMENTAÇÃO'!$E:$E,'MOVIMENTAÇÃO'!$C:$C,A98,'MOVIMENTAÇÃO'!$B:$B,"PERDA")</f>
        <v>0</v>
      </c>
      <c r="G98" s="51">
        <f t="shared" si="2"/>
        <v>0</v>
      </c>
      <c r="I98" s="34"/>
    </row>
    <row r="99" ht="22.5" customHeight="1">
      <c r="A99" s="35"/>
      <c r="B99" s="35"/>
      <c r="C99" s="35"/>
      <c r="D99" s="50"/>
      <c r="F99" s="51">
        <f>SUMIFS('MOVIMENTAÇÃO'!$E:$E,'MOVIMENTAÇÃO'!$C:$C,A99,'MOVIMENTAÇÃO'!$B:$B,"PERDA")</f>
        <v>0</v>
      </c>
      <c r="G99" s="51">
        <f t="shared" si="2"/>
        <v>0</v>
      </c>
      <c r="I99" s="34"/>
    </row>
    <row r="100" ht="22.5" customHeight="1">
      <c r="A100" s="35"/>
      <c r="B100" s="35"/>
      <c r="C100" s="35"/>
      <c r="D100" s="50"/>
      <c r="F100" s="51">
        <f>SUMIFS('MOVIMENTAÇÃO'!$E:$E,'MOVIMENTAÇÃO'!$C:$C,A100,'MOVIMENTAÇÃO'!$B:$B,"PERDA")</f>
        <v>0</v>
      </c>
      <c r="G100" s="51">
        <f t="shared" si="2"/>
        <v>0</v>
      </c>
      <c r="I100" s="34"/>
    </row>
    <row r="101" ht="22.5" customHeight="1">
      <c r="A101" s="35"/>
      <c r="B101" s="35"/>
      <c r="C101" s="35"/>
      <c r="D101" s="50"/>
      <c r="F101" s="51">
        <f>SUMIFS('MOVIMENTAÇÃO'!$E:$E,'MOVIMENTAÇÃO'!$C:$C,A101,'MOVIMENTAÇÃO'!$B:$B,"PERDA")</f>
        <v>0</v>
      </c>
      <c r="G101" s="51">
        <f t="shared" si="2"/>
        <v>0</v>
      </c>
      <c r="I101" s="34"/>
    </row>
    <row r="102" ht="22.5" customHeight="1">
      <c r="A102" s="35"/>
      <c r="B102" s="35"/>
      <c r="C102" s="35"/>
      <c r="D102" s="50"/>
      <c r="F102" s="51">
        <f>SUMIFS('MOVIMENTAÇÃO'!$E:$E,'MOVIMENTAÇÃO'!$C:$C,A102,'MOVIMENTAÇÃO'!$B:$B,"PERDA")</f>
        <v>0</v>
      </c>
      <c r="G102" s="51">
        <f t="shared" si="2"/>
        <v>0</v>
      </c>
      <c r="I102" s="34"/>
    </row>
    <row r="103" ht="22.5" customHeight="1">
      <c r="A103" s="35"/>
      <c r="B103" s="35"/>
      <c r="C103" s="35"/>
      <c r="D103" s="50"/>
      <c r="F103" s="51">
        <f>SUMIFS('MOVIMENTAÇÃO'!$E:$E,'MOVIMENTAÇÃO'!$C:$C,A103,'MOVIMENTAÇÃO'!$B:$B,"PERDA")</f>
        <v>0</v>
      </c>
      <c r="G103" s="51">
        <f t="shared" si="2"/>
        <v>0</v>
      </c>
      <c r="I103" s="34"/>
    </row>
    <row r="104" ht="22.5" customHeight="1">
      <c r="A104" s="35"/>
      <c r="B104" s="35"/>
      <c r="C104" s="35"/>
      <c r="D104" s="50"/>
      <c r="F104" s="51">
        <f>SUMIFS('MOVIMENTAÇÃO'!$E:$E,'MOVIMENTAÇÃO'!$C:$C,A104,'MOVIMENTAÇÃO'!$B:$B,"PERDA")</f>
        <v>0</v>
      </c>
      <c r="G104" s="51">
        <f t="shared" si="2"/>
        <v>0</v>
      </c>
      <c r="I104" s="34"/>
    </row>
    <row r="105" ht="22.5" customHeight="1">
      <c r="A105" s="35"/>
      <c r="B105" s="35"/>
      <c r="C105" s="35"/>
      <c r="D105" s="50"/>
      <c r="F105" s="51">
        <f>SUMIFS('MOVIMENTAÇÃO'!$E:$E,'MOVIMENTAÇÃO'!$C:$C,A105,'MOVIMENTAÇÃO'!$B:$B,"PERDA")</f>
        <v>0</v>
      </c>
      <c r="G105" s="51">
        <f t="shared" si="2"/>
        <v>0</v>
      </c>
      <c r="I105" s="34"/>
    </row>
    <row r="106" ht="22.5" customHeight="1">
      <c r="A106" s="35"/>
      <c r="B106" s="35"/>
      <c r="C106" s="35"/>
      <c r="D106" s="50"/>
      <c r="F106" s="51">
        <f>SUMIFS('MOVIMENTAÇÃO'!$E:$E,'MOVIMENTAÇÃO'!$C:$C,A106,'MOVIMENTAÇÃO'!$B:$B,"PERDA")</f>
        <v>0</v>
      </c>
      <c r="G106" s="51">
        <f t="shared" si="2"/>
        <v>0</v>
      </c>
      <c r="I106" s="34"/>
    </row>
    <row r="107" ht="22.5" customHeight="1">
      <c r="A107" s="35"/>
      <c r="B107" s="35"/>
      <c r="C107" s="35"/>
      <c r="D107" s="50"/>
      <c r="F107" s="51">
        <f>SUMIFS('MOVIMENTAÇÃO'!$E:$E,'MOVIMENTAÇÃO'!$C:$C,A107,'MOVIMENTAÇÃO'!$B:$B,"PERDA")</f>
        <v>0</v>
      </c>
      <c r="G107" s="51">
        <f t="shared" si="2"/>
        <v>0</v>
      </c>
      <c r="I107" s="34"/>
    </row>
    <row r="108" ht="22.5" customHeight="1">
      <c r="A108" s="35"/>
      <c r="B108" s="35"/>
      <c r="C108" s="35"/>
      <c r="D108" s="50"/>
      <c r="F108" s="51">
        <f>SUMIFS('MOVIMENTAÇÃO'!$E:$E,'MOVIMENTAÇÃO'!$C:$C,A108,'MOVIMENTAÇÃO'!$B:$B,"PERDA")</f>
        <v>0</v>
      </c>
      <c r="G108" s="51">
        <f t="shared" si="2"/>
        <v>0</v>
      </c>
      <c r="I108" s="34"/>
    </row>
    <row r="109" ht="22.5" customHeight="1">
      <c r="A109" s="35"/>
      <c r="B109" s="35"/>
      <c r="C109" s="35"/>
      <c r="D109" s="50"/>
      <c r="F109" s="51">
        <f>SUMIFS('MOVIMENTAÇÃO'!$E:$E,'MOVIMENTAÇÃO'!$C:$C,A109,'MOVIMENTAÇÃO'!$B:$B,"PERDA")</f>
        <v>0</v>
      </c>
      <c r="G109" s="51">
        <f t="shared" si="2"/>
        <v>0</v>
      </c>
      <c r="I109" s="34"/>
    </row>
    <row r="110" ht="22.5" customHeight="1">
      <c r="A110" s="35"/>
      <c r="B110" s="35"/>
      <c r="C110" s="35"/>
      <c r="D110" s="50"/>
      <c r="F110" s="51">
        <f>SUMIFS('MOVIMENTAÇÃO'!$E:$E,'MOVIMENTAÇÃO'!$C:$C,A110,'MOVIMENTAÇÃO'!$B:$B,"PERDA")</f>
        <v>0</v>
      </c>
      <c r="G110" s="51">
        <f t="shared" si="2"/>
        <v>0</v>
      </c>
      <c r="I110" s="34"/>
    </row>
    <row r="111" ht="22.5" customHeight="1">
      <c r="A111" s="35"/>
      <c r="B111" s="35"/>
      <c r="C111" s="35"/>
      <c r="D111" s="50"/>
      <c r="F111" s="51">
        <f>SUMIFS('MOVIMENTAÇÃO'!$E:$E,'MOVIMENTAÇÃO'!$C:$C,A111,'MOVIMENTAÇÃO'!$B:$B,"PERDA")</f>
        <v>0</v>
      </c>
      <c r="G111" s="51">
        <f t="shared" si="2"/>
        <v>0</v>
      </c>
      <c r="I111" s="34"/>
    </row>
    <row r="112" ht="22.5" customHeight="1">
      <c r="A112" s="35"/>
      <c r="B112" s="35"/>
      <c r="C112" s="35"/>
      <c r="D112" s="50"/>
      <c r="F112" s="51">
        <f>SUMIFS('MOVIMENTAÇÃO'!$E:$E,'MOVIMENTAÇÃO'!$C:$C,A112,'MOVIMENTAÇÃO'!$B:$B,"PERDA")</f>
        <v>0</v>
      </c>
      <c r="G112" s="51">
        <f t="shared" si="2"/>
        <v>0</v>
      </c>
      <c r="I112" s="34"/>
    </row>
    <row r="113" ht="22.5" customHeight="1">
      <c r="A113" s="35"/>
      <c r="B113" s="35"/>
      <c r="C113" s="35"/>
      <c r="D113" s="50"/>
      <c r="F113" s="51">
        <f>SUMIFS('MOVIMENTAÇÃO'!$E:$E,'MOVIMENTAÇÃO'!$C:$C,A113,'MOVIMENTAÇÃO'!$B:$B,"PERDA")</f>
        <v>0</v>
      </c>
      <c r="G113" s="51">
        <f t="shared" si="2"/>
        <v>0</v>
      </c>
      <c r="I113" s="34"/>
    </row>
    <row r="114" ht="22.5" customHeight="1">
      <c r="A114" s="35"/>
      <c r="B114" s="35"/>
      <c r="C114" s="35"/>
      <c r="D114" s="50"/>
      <c r="F114" s="51">
        <f>SUMIFS('MOVIMENTAÇÃO'!$E:$E,'MOVIMENTAÇÃO'!$C:$C,A114,'MOVIMENTAÇÃO'!$B:$B,"PERDA")</f>
        <v>0</v>
      </c>
      <c r="G114" s="51">
        <f t="shared" si="2"/>
        <v>0</v>
      </c>
      <c r="I114" s="34"/>
    </row>
    <row r="115" ht="22.5" customHeight="1">
      <c r="A115" s="35"/>
      <c r="B115" s="35"/>
      <c r="C115" s="35"/>
      <c r="D115" s="50"/>
      <c r="F115" s="51">
        <f>SUMIFS('MOVIMENTAÇÃO'!$E:$E,'MOVIMENTAÇÃO'!$C:$C,A115,'MOVIMENTAÇÃO'!$B:$B,"PERDA")</f>
        <v>0</v>
      </c>
      <c r="G115" s="51">
        <f t="shared" si="2"/>
        <v>0</v>
      </c>
      <c r="I115" s="34"/>
    </row>
    <row r="116" ht="22.5" customHeight="1">
      <c r="A116" s="35"/>
      <c r="B116" s="35"/>
      <c r="C116" s="35"/>
      <c r="D116" s="50"/>
      <c r="F116" s="51">
        <f>SUMIFS('MOVIMENTAÇÃO'!$E:$E,'MOVIMENTAÇÃO'!$C:$C,A116,'MOVIMENTAÇÃO'!$B:$B,"PERDA")</f>
        <v>0</v>
      </c>
      <c r="G116" s="51">
        <f t="shared" si="2"/>
        <v>0</v>
      </c>
      <c r="I116" s="34"/>
    </row>
    <row r="117" ht="22.5" customHeight="1">
      <c r="A117" s="35"/>
      <c r="B117" s="35"/>
      <c r="C117" s="35"/>
      <c r="D117" s="50"/>
      <c r="F117" s="51">
        <f>SUMIFS('MOVIMENTAÇÃO'!$E:$E,'MOVIMENTAÇÃO'!$C:$C,A117,'MOVIMENTAÇÃO'!$B:$B,"PERDA")</f>
        <v>0</v>
      </c>
      <c r="G117" s="51">
        <f t="shared" si="2"/>
        <v>0</v>
      </c>
      <c r="I117" s="34"/>
    </row>
    <row r="118" ht="22.5" customHeight="1">
      <c r="A118" s="35"/>
      <c r="B118" s="35"/>
      <c r="C118" s="35"/>
      <c r="D118" s="50"/>
      <c r="F118" s="51">
        <f>SUMIFS('MOVIMENTAÇÃO'!$E:$E,'MOVIMENTAÇÃO'!$C:$C,A118,'MOVIMENTAÇÃO'!$B:$B,"PERDA")</f>
        <v>0</v>
      </c>
      <c r="G118" s="51">
        <f t="shared" si="2"/>
        <v>0</v>
      </c>
      <c r="I118" s="34"/>
    </row>
    <row r="119" ht="22.5" customHeight="1">
      <c r="A119" s="35"/>
      <c r="B119" s="35"/>
      <c r="C119" s="35"/>
      <c r="D119" s="50"/>
      <c r="F119" s="51">
        <f>SUMIFS('MOVIMENTAÇÃO'!$E:$E,'MOVIMENTAÇÃO'!$C:$C,A119,'MOVIMENTAÇÃO'!$B:$B,"PERDA")</f>
        <v>0</v>
      </c>
      <c r="G119" s="51">
        <f t="shared" si="2"/>
        <v>0</v>
      </c>
      <c r="I119" s="34"/>
    </row>
    <row r="120" ht="22.5" customHeight="1">
      <c r="A120" s="35"/>
      <c r="B120" s="35"/>
      <c r="C120" s="35"/>
      <c r="D120" s="50"/>
      <c r="F120" s="51">
        <f>SUMIFS('MOVIMENTAÇÃO'!$E:$E,'MOVIMENTAÇÃO'!$C:$C,A120,'MOVIMENTAÇÃO'!$B:$B,"PERDA")</f>
        <v>0</v>
      </c>
      <c r="G120" s="51">
        <f t="shared" si="2"/>
        <v>0</v>
      </c>
      <c r="I120" s="34"/>
    </row>
    <row r="121" ht="22.5" customHeight="1">
      <c r="A121" s="35"/>
      <c r="B121" s="35"/>
      <c r="C121" s="35"/>
      <c r="D121" s="50"/>
      <c r="F121" s="51">
        <f>SUMIFS('MOVIMENTAÇÃO'!$E:$E,'MOVIMENTAÇÃO'!$C:$C,A121,'MOVIMENTAÇÃO'!$B:$B,"PERDA")</f>
        <v>0</v>
      </c>
      <c r="G121" s="51">
        <f t="shared" si="2"/>
        <v>0</v>
      </c>
      <c r="I121" s="34"/>
    </row>
    <row r="122" ht="22.5" customHeight="1">
      <c r="A122" s="35"/>
      <c r="B122" s="35"/>
      <c r="C122" s="35"/>
      <c r="D122" s="50"/>
      <c r="F122" s="51">
        <f>SUMIFS('MOVIMENTAÇÃO'!$E:$E,'MOVIMENTAÇÃO'!$C:$C,A122,'MOVIMENTAÇÃO'!$B:$B,"PERDA")</f>
        <v>0</v>
      </c>
      <c r="G122" s="51">
        <f t="shared" si="2"/>
        <v>0</v>
      </c>
      <c r="I122" s="34"/>
    </row>
    <row r="123" ht="22.5" customHeight="1">
      <c r="A123" s="35"/>
      <c r="B123" s="35"/>
      <c r="C123" s="35"/>
      <c r="D123" s="50"/>
      <c r="F123" s="51">
        <f>SUMIFS('MOVIMENTAÇÃO'!$E:$E,'MOVIMENTAÇÃO'!$C:$C,A123,'MOVIMENTAÇÃO'!$B:$B,"PERDA")</f>
        <v>0</v>
      </c>
      <c r="G123" s="51">
        <f t="shared" si="2"/>
        <v>0</v>
      </c>
      <c r="I123" s="34"/>
    </row>
    <row r="124" ht="22.5" customHeight="1">
      <c r="A124" s="35"/>
      <c r="B124" s="35"/>
      <c r="C124" s="35"/>
      <c r="D124" s="50"/>
      <c r="F124" s="51">
        <f>SUMIFS('MOVIMENTAÇÃO'!$E:$E,'MOVIMENTAÇÃO'!$C:$C,A124,'MOVIMENTAÇÃO'!$B:$B,"PERDA")</f>
        <v>0</v>
      </c>
      <c r="G124" s="51">
        <f t="shared" si="2"/>
        <v>0</v>
      </c>
      <c r="I124" s="34"/>
    </row>
    <row r="125" ht="22.5" customHeight="1">
      <c r="A125" s="35"/>
      <c r="B125" s="35"/>
      <c r="C125" s="35"/>
      <c r="D125" s="50"/>
      <c r="F125" s="51">
        <f>SUMIFS('MOVIMENTAÇÃO'!$E:$E,'MOVIMENTAÇÃO'!$C:$C,A125,'MOVIMENTAÇÃO'!$B:$B,"PERDA")</f>
        <v>0</v>
      </c>
      <c r="G125" s="51">
        <f t="shared" si="2"/>
        <v>0</v>
      </c>
      <c r="I125" s="34"/>
    </row>
    <row r="126" ht="22.5" customHeight="1">
      <c r="A126" s="35"/>
      <c r="B126" s="35"/>
      <c r="C126" s="35"/>
      <c r="D126" s="50"/>
      <c r="F126" s="51">
        <f>SUMIFS('MOVIMENTAÇÃO'!$E:$E,'MOVIMENTAÇÃO'!$C:$C,A126,'MOVIMENTAÇÃO'!$B:$B,"PERDA")</f>
        <v>0</v>
      </c>
      <c r="G126" s="51">
        <f t="shared" si="2"/>
        <v>0</v>
      </c>
      <c r="I126" s="34"/>
    </row>
    <row r="127" ht="22.5" customHeight="1">
      <c r="A127" s="35"/>
      <c r="B127" s="35"/>
      <c r="C127" s="35"/>
      <c r="D127" s="50"/>
      <c r="F127" s="51">
        <f>SUMIFS('MOVIMENTAÇÃO'!$E:$E,'MOVIMENTAÇÃO'!$C:$C,A127,'MOVIMENTAÇÃO'!$B:$B,"PERDA")</f>
        <v>0</v>
      </c>
      <c r="G127" s="51">
        <f t="shared" si="2"/>
        <v>0</v>
      </c>
      <c r="I127" s="34"/>
    </row>
    <row r="128" ht="22.5" customHeight="1">
      <c r="A128" s="35"/>
      <c r="B128" s="35"/>
      <c r="C128" s="35"/>
      <c r="D128" s="50"/>
      <c r="F128" s="51">
        <f>SUMIFS('MOVIMENTAÇÃO'!$E:$E,'MOVIMENTAÇÃO'!$C:$C,A128,'MOVIMENTAÇÃO'!$B:$B,"PERDA")</f>
        <v>0</v>
      </c>
      <c r="G128" s="51">
        <f t="shared" si="2"/>
        <v>0</v>
      </c>
      <c r="I128" s="34"/>
    </row>
    <row r="129" ht="22.5" customHeight="1">
      <c r="A129" s="35"/>
      <c r="B129" s="35"/>
      <c r="C129" s="35"/>
      <c r="D129" s="50"/>
      <c r="F129" s="51">
        <f>SUMIFS('MOVIMENTAÇÃO'!$E:$E,'MOVIMENTAÇÃO'!$C:$C,A129,'MOVIMENTAÇÃO'!$B:$B,"PERDA")</f>
        <v>0</v>
      </c>
      <c r="G129" s="51">
        <f t="shared" si="2"/>
        <v>0</v>
      </c>
      <c r="I129" s="34"/>
    </row>
    <row r="130" ht="22.5" customHeight="1">
      <c r="A130" s="35"/>
      <c r="B130" s="35"/>
      <c r="C130" s="35"/>
      <c r="D130" s="50"/>
      <c r="F130" s="51">
        <f>SUMIFS('MOVIMENTAÇÃO'!$E:$E,'MOVIMENTAÇÃO'!$C:$C,A130,'MOVIMENTAÇÃO'!$B:$B,"PERDA")</f>
        <v>0</v>
      </c>
      <c r="G130" s="51">
        <f t="shared" si="2"/>
        <v>0</v>
      </c>
      <c r="I130" s="34"/>
    </row>
    <row r="131" ht="22.5" customHeight="1">
      <c r="A131" s="35"/>
      <c r="B131" s="35"/>
      <c r="C131" s="35"/>
      <c r="D131" s="50"/>
      <c r="F131" s="51">
        <f>SUMIFS('MOVIMENTAÇÃO'!$E:$E,'MOVIMENTAÇÃO'!$C:$C,A131,'MOVIMENTAÇÃO'!$B:$B,"PERDA")</f>
        <v>0</v>
      </c>
      <c r="G131" s="51">
        <f t="shared" si="2"/>
        <v>0</v>
      </c>
      <c r="I131" s="34"/>
    </row>
    <row r="132" ht="22.5" customHeight="1">
      <c r="A132" s="35"/>
      <c r="B132" s="35"/>
      <c r="C132" s="35"/>
      <c r="D132" s="50"/>
      <c r="F132" s="51">
        <f>SUMIFS('MOVIMENTAÇÃO'!$E:$E,'MOVIMENTAÇÃO'!$C:$C,A132,'MOVIMENTAÇÃO'!$B:$B,"PERDA")</f>
        <v>0</v>
      </c>
      <c r="G132" s="51">
        <f t="shared" si="2"/>
        <v>0</v>
      </c>
      <c r="I132" s="34"/>
    </row>
    <row r="133" ht="22.5" customHeight="1">
      <c r="A133" s="35"/>
      <c r="B133" s="35"/>
      <c r="C133" s="35"/>
      <c r="D133" s="50"/>
      <c r="F133" s="51">
        <f>SUMIFS('MOVIMENTAÇÃO'!$E:$E,'MOVIMENTAÇÃO'!$C:$C,A133,'MOVIMENTAÇÃO'!$B:$B,"PERDA")</f>
        <v>0</v>
      </c>
      <c r="G133" s="51">
        <f t="shared" si="2"/>
        <v>0</v>
      </c>
      <c r="I133" s="34"/>
    </row>
    <row r="134" ht="22.5" customHeight="1">
      <c r="A134" s="35"/>
      <c r="B134" s="35"/>
      <c r="C134" s="35"/>
      <c r="D134" s="50"/>
      <c r="F134" s="51">
        <f>SUMIFS('MOVIMENTAÇÃO'!$E:$E,'MOVIMENTAÇÃO'!$C:$C,A134,'MOVIMENTAÇÃO'!$B:$B,"PERDA")</f>
        <v>0</v>
      </c>
      <c r="G134" s="51">
        <f t="shared" si="2"/>
        <v>0</v>
      </c>
      <c r="I134" s="34"/>
    </row>
    <row r="135" ht="22.5" customHeight="1">
      <c r="A135" s="35"/>
      <c r="B135" s="35"/>
      <c r="C135" s="35"/>
      <c r="D135" s="50"/>
      <c r="F135" s="51">
        <f>SUMIFS('MOVIMENTAÇÃO'!$E:$E,'MOVIMENTAÇÃO'!$C:$C,A135,'MOVIMENTAÇÃO'!$B:$B,"PERDA")</f>
        <v>0</v>
      </c>
      <c r="G135" s="51">
        <f t="shared" si="2"/>
        <v>0</v>
      </c>
      <c r="I135" s="34"/>
    </row>
    <row r="136" ht="22.5" customHeight="1">
      <c r="A136" s="35"/>
      <c r="B136" s="35"/>
      <c r="C136" s="35"/>
      <c r="D136" s="50"/>
      <c r="F136" s="51">
        <f>SUMIFS('MOVIMENTAÇÃO'!$E:$E,'MOVIMENTAÇÃO'!$C:$C,A136,'MOVIMENTAÇÃO'!$B:$B,"PERDA")</f>
        <v>0</v>
      </c>
      <c r="G136" s="51">
        <f t="shared" si="2"/>
        <v>0</v>
      </c>
      <c r="I136" s="34"/>
    </row>
    <row r="137" ht="22.5" customHeight="1">
      <c r="A137" s="35"/>
      <c r="B137" s="35"/>
      <c r="C137" s="35"/>
      <c r="D137" s="50"/>
      <c r="F137" s="51">
        <f>SUMIFS('MOVIMENTAÇÃO'!$E:$E,'MOVIMENTAÇÃO'!$C:$C,A137,'MOVIMENTAÇÃO'!$B:$B,"PERDA")</f>
        <v>0</v>
      </c>
      <c r="G137" s="51">
        <f t="shared" si="2"/>
        <v>0</v>
      </c>
      <c r="I137" s="34"/>
    </row>
    <row r="138" ht="22.5" customHeight="1">
      <c r="A138" s="35"/>
      <c r="B138" s="35"/>
      <c r="C138" s="35"/>
      <c r="D138" s="50"/>
      <c r="F138" s="51">
        <f>SUMIFS('MOVIMENTAÇÃO'!$E:$E,'MOVIMENTAÇÃO'!$C:$C,A138,'MOVIMENTAÇÃO'!$B:$B,"PERDA")</f>
        <v>0</v>
      </c>
      <c r="G138" s="51">
        <f t="shared" si="2"/>
        <v>0</v>
      </c>
      <c r="I138" s="34"/>
    </row>
    <row r="139" ht="22.5" customHeight="1">
      <c r="A139" s="35"/>
      <c r="B139" s="35"/>
      <c r="C139" s="35"/>
      <c r="D139" s="50"/>
      <c r="F139" s="51">
        <f>SUMIFS('MOVIMENTAÇÃO'!$E:$E,'MOVIMENTAÇÃO'!$C:$C,A139,'MOVIMENTAÇÃO'!$B:$B,"PERDA")</f>
        <v>0</v>
      </c>
      <c r="G139" s="51">
        <f t="shared" si="2"/>
        <v>0</v>
      </c>
      <c r="I139" s="34"/>
    </row>
    <row r="140" ht="22.5" customHeight="1">
      <c r="A140" s="35"/>
      <c r="B140" s="35"/>
      <c r="C140" s="35"/>
      <c r="D140" s="50"/>
      <c r="F140" s="51">
        <f>SUMIFS('MOVIMENTAÇÃO'!$E:$E,'MOVIMENTAÇÃO'!$C:$C,A140,'MOVIMENTAÇÃO'!$B:$B,"PERDA")</f>
        <v>0</v>
      </c>
      <c r="G140" s="51">
        <f t="shared" si="2"/>
        <v>0</v>
      </c>
      <c r="I140" s="34"/>
    </row>
    <row r="141" ht="22.5" customHeight="1">
      <c r="A141" s="35"/>
      <c r="B141" s="35"/>
      <c r="C141" s="35"/>
      <c r="D141" s="50"/>
      <c r="F141" s="51">
        <f>SUMIFS('MOVIMENTAÇÃO'!$E:$E,'MOVIMENTAÇÃO'!$C:$C,A141,'MOVIMENTAÇÃO'!$B:$B,"PERDA")</f>
        <v>0</v>
      </c>
      <c r="G141" s="51">
        <f t="shared" si="2"/>
        <v>0</v>
      </c>
      <c r="I141" s="34"/>
    </row>
    <row r="142" ht="22.5" customHeight="1">
      <c r="A142" s="35"/>
      <c r="B142" s="35"/>
      <c r="C142" s="35"/>
      <c r="D142" s="50"/>
      <c r="F142" s="51">
        <f>SUMIFS('MOVIMENTAÇÃO'!$E:$E,'MOVIMENTAÇÃO'!$C:$C,A142,'MOVIMENTAÇÃO'!$B:$B,"PERDA")</f>
        <v>0</v>
      </c>
      <c r="G142" s="51">
        <f t="shared" si="2"/>
        <v>0</v>
      </c>
      <c r="I142" s="34"/>
    </row>
    <row r="143" ht="22.5" customHeight="1">
      <c r="A143" s="35"/>
      <c r="B143" s="35"/>
      <c r="C143" s="35"/>
      <c r="D143" s="50"/>
      <c r="F143" s="51">
        <f>SUMIFS('MOVIMENTAÇÃO'!$E:$E,'MOVIMENTAÇÃO'!$C:$C,A143,'MOVIMENTAÇÃO'!$B:$B,"PERDA")</f>
        <v>0</v>
      </c>
      <c r="G143" s="51">
        <f t="shared" si="2"/>
        <v>0</v>
      </c>
      <c r="I143" s="34"/>
    </row>
    <row r="144" ht="22.5" customHeight="1">
      <c r="A144" s="35"/>
      <c r="B144" s="35"/>
      <c r="C144" s="35"/>
      <c r="D144" s="50"/>
      <c r="F144" s="51">
        <f>SUMIFS('MOVIMENTAÇÃO'!$E:$E,'MOVIMENTAÇÃO'!$C:$C,A144,'MOVIMENTAÇÃO'!$B:$B,"PERDA")</f>
        <v>0</v>
      </c>
      <c r="G144" s="51">
        <f t="shared" si="2"/>
        <v>0</v>
      </c>
      <c r="I144" s="34"/>
    </row>
    <row r="145" ht="22.5" customHeight="1">
      <c r="A145" s="35"/>
      <c r="B145" s="35"/>
      <c r="C145" s="35"/>
      <c r="D145" s="50"/>
      <c r="F145" s="51">
        <f>SUMIFS('MOVIMENTAÇÃO'!$E:$E,'MOVIMENTAÇÃO'!$C:$C,A145,'MOVIMENTAÇÃO'!$B:$B,"PERDA")</f>
        <v>0</v>
      </c>
      <c r="G145" s="51">
        <f t="shared" si="2"/>
        <v>0</v>
      </c>
      <c r="I145" s="34"/>
    </row>
    <row r="146" ht="22.5" customHeight="1">
      <c r="A146" s="35"/>
      <c r="B146" s="35"/>
      <c r="C146" s="35"/>
      <c r="D146" s="50"/>
      <c r="F146" s="51">
        <f>SUMIFS('MOVIMENTAÇÃO'!$E:$E,'MOVIMENTAÇÃO'!$C:$C,A146,'MOVIMENTAÇÃO'!$B:$B,"PERDA")</f>
        <v>0</v>
      </c>
      <c r="G146" s="51">
        <f t="shared" si="2"/>
        <v>0</v>
      </c>
      <c r="I146" s="34"/>
    </row>
    <row r="147" ht="22.5" customHeight="1">
      <c r="A147" s="35"/>
      <c r="B147" s="35"/>
      <c r="C147" s="35"/>
      <c r="D147" s="50"/>
      <c r="F147" s="51">
        <f>SUMIFS('MOVIMENTAÇÃO'!$E:$E,'MOVIMENTAÇÃO'!$C:$C,A147,'MOVIMENTAÇÃO'!$B:$B,"PERDA")</f>
        <v>0</v>
      </c>
      <c r="G147" s="51">
        <f t="shared" si="2"/>
        <v>0</v>
      </c>
      <c r="I147" s="34"/>
    </row>
    <row r="148" ht="22.5" customHeight="1">
      <c r="A148" s="35"/>
      <c r="B148" s="35"/>
      <c r="C148" s="35"/>
      <c r="D148" s="50"/>
      <c r="F148" s="51">
        <f>SUMIFS('MOVIMENTAÇÃO'!$E:$E,'MOVIMENTAÇÃO'!$C:$C,A148,'MOVIMENTAÇÃO'!$B:$B,"PERDA")</f>
        <v>0</v>
      </c>
      <c r="G148" s="51">
        <f t="shared" si="2"/>
        <v>0</v>
      </c>
      <c r="I148" s="34"/>
    </row>
    <row r="149" ht="22.5" customHeight="1">
      <c r="A149" s="35"/>
      <c r="B149" s="35"/>
      <c r="C149" s="35"/>
      <c r="D149" s="50"/>
      <c r="F149" s="51">
        <f>SUMIFS('MOVIMENTAÇÃO'!$E:$E,'MOVIMENTAÇÃO'!$C:$C,A149,'MOVIMENTAÇÃO'!$B:$B,"PERDA")</f>
        <v>0</v>
      </c>
      <c r="G149" s="51">
        <f t="shared" si="2"/>
        <v>0</v>
      </c>
      <c r="I149" s="34"/>
    </row>
    <row r="150" ht="22.5" customHeight="1">
      <c r="A150" s="35"/>
      <c r="B150" s="35"/>
      <c r="C150" s="35"/>
      <c r="D150" s="50"/>
      <c r="F150" s="51">
        <f>SUMIFS('MOVIMENTAÇÃO'!$E:$E,'MOVIMENTAÇÃO'!$C:$C,A150,'MOVIMENTAÇÃO'!$B:$B,"PERDA")</f>
        <v>0</v>
      </c>
      <c r="G150" s="51">
        <f t="shared" si="2"/>
        <v>0</v>
      </c>
      <c r="I150" s="34"/>
    </row>
    <row r="151" ht="22.5" customHeight="1">
      <c r="A151" s="35"/>
      <c r="B151" s="35"/>
      <c r="C151" s="35"/>
      <c r="D151" s="50"/>
      <c r="F151" s="51">
        <f>SUMIFS('MOVIMENTAÇÃO'!$E:$E,'MOVIMENTAÇÃO'!$C:$C,A151,'MOVIMENTAÇÃO'!$B:$B,"PERDA")</f>
        <v>0</v>
      </c>
      <c r="G151" s="51">
        <f t="shared" si="2"/>
        <v>0</v>
      </c>
      <c r="I151" s="34"/>
    </row>
    <row r="152" ht="22.5" customHeight="1">
      <c r="A152" s="35"/>
      <c r="B152" s="35"/>
      <c r="C152" s="35"/>
      <c r="D152" s="50"/>
      <c r="F152" s="51">
        <f>SUMIFS('MOVIMENTAÇÃO'!$E:$E,'MOVIMENTAÇÃO'!$C:$C,A152,'MOVIMENTAÇÃO'!$B:$B,"PERDA")</f>
        <v>0</v>
      </c>
      <c r="G152" s="51">
        <f t="shared" si="2"/>
        <v>0</v>
      </c>
      <c r="I152" s="34"/>
    </row>
    <row r="153" ht="22.5" customHeight="1">
      <c r="A153" s="35"/>
      <c r="B153" s="35"/>
      <c r="C153" s="35"/>
      <c r="D153" s="50"/>
      <c r="F153" s="51">
        <f>SUMIFS('MOVIMENTAÇÃO'!$E:$E,'MOVIMENTAÇÃO'!$C:$C,A153,'MOVIMENTAÇÃO'!$B:$B,"PERDA")</f>
        <v>0</v>
      </c>
      <c r="G153" s="51">
        <f t="shared" si="2"/>
        <v>0</v>
      </c>
      <c r="I153" s="34"/>
    </row>
    <row r="154" ht="22.5" customHeight="1">
      <c r="A154" s="35"/>
      <c r="B154" s="35"/>
      <c r="C154" s="35"/>
      <c r="D154" s="50"/>
      <c r="F154" s="51">
        <f>SUMIFS('MOVIMENTAÇÃO'!$E:$E,'MOVIMENTAÇÃO'!$C:$C,A154,'MOVIMENTAÇÃO'!$B:$B,"PERDA")</f>
        <v>0</v>
      </c>
      <c r="G154" s="51">
        <f t="shared" si="2"/>
        <v>0</v>
      </c>
      <c r="I154" s="34"/>
    </row>
    <row r="155" ht="22.5" customHeight="1">
      <c r="A155" s="35"/>
      <c r="B155" s="35"/>
      <c r="C155" s="35"/>
      <c r="D155" s="50"/>
      <c r="F155" s="51">
        <f>SUMIFS('MOVIMENTAÇÃO'!$E:$E,'MOVIMENTAÇÃO'!$C:$C,A155,'MOVIMENTAÇÃO'!$B:$B,"PERDA")</f>
        <v>0</v>
      </c>
      <c r="G155" s="51">
        <f t="shared" si="2"/>
        <v>0</v>
      </c>
      <c r="I155" s="34"/>
    </row>
    <row r="156" ht="22.5" customHeight="1">
      <c r="A156" s="35"/>
      <c r="B156" s="35"/>
      <c r="C156" s="35"/>
      <c r="D156" s="50"/>
      <c r="F156" s="51">
        <f>SUMIFS('MOVIMENTAÇÃO'!$E:$E,'MOVIMENTAÇÃO'!$C:$C,A156,'MOVIMENTAÇÃO'!$B:$B,"PERDA")</f>
        <v>0</v>
      </c>
      <c r="G156" s="51">
        <f t="shared" si="2"/>
        <v>0</v>
      </c>
      <c r="I156" s="34"/>
    </row>
    <row r="157" ht="22.5" customHeight="1">
      <c r="A157" s="35"/>
      <c r="B157" s="35"/>
      <c r="C157" s="35"/>
      <c r="D157" s="50"/>
      <c r="F157" s="51">
        <f>SUMIFS('MOVIMENTAÇÃO'!$E:$E,'MOVIMENTAÇÃO'!$C:$C,A157,'MOVIMENTAÇÃO'!$B:$B,"PERDA")</f>
        <v>0</v>
      </c>
      <c r="G157" s="51">
        <f t="shared" si="2"/>
        <v>0</v>
      </c>
      <c r="I157" s="34"/>
    </row>
    <row r="158" ht="22.5" customHeight="1">
      <c r="A158" s="35"/>
      <c r="B158" s="35"/>
      <c r="C158" s="35"/>
      <c r="D158" s="50"/>
      <c r="F158" s="51">
        <f>SUMIFS('MOVIMENTAÇÃO'!$E:$E,'MOVIMENTAÇÃO'!$C:$C,A158,'MOVIMENTAÇÃO'!$B:$B,"PERDA")</f>
        <v>0</v>
      </c>
      <c r="G158" s="51">
        <f t="shared" si="2"/>
        <v>0</v>
      </c>
      <c r="I158" s="34"/>
    </row>
    <row r="159" ht="22.5" customHeight="1">
      <c r="A159" s="35"/>
      <c r="B159" s="35"/>
      <c r="C159" s="35"/>
      <c r="D159" s="50"/>
      <c r="F159" s="51">
        <f>SUMIFS('MOVIMENTAÇÃO'!$E:$E,'MOVIMENTAÇÃO'!$C:$C,A159,'MOVIMENTAÇÃO'!$B:$B,"PERDA")</f>
        <v>0</v>
      </c>
      <c r="G159" s="51">
        <f t="shared" si="2"/>
        <v>0</v>
      </c>
      <c r="I159" s="34"/>
    </row>
    <row r="160" ht="22.5" customHeight="1">
      <c r="A160" s="35"/>
      <c r="B160" s="35"/>
      <c r="C160" s="35"/>
      <c r="D160" s="50"/>
      <c r="F160" s="51">
        <f>SUMIFS('MOVIMENTAÇÃO'!$E:$E,'MOVIMENTAÇÃO'!$C:$C,A160,'MOVIMENTAÇÃO'!$B:$B,"PERDA")</f>
        <v>0</v>
      </c>
      <c r="G160" s="51">
        <f t="shared" si="2"/>
        <v>0</v>
      </c>
      <c r="I160" s="34"/>
    </row>
    <row r="161" ht="22.5" customHeight="1">
      <c r="A161" s="35"/>
      <c r="B161" s="35"/>
      <c r="C161" s="35"/>
      <c r="D161" s="50"/>
      <c r="F161" s="51">
        <f>SUMIFS('MOVIMENTAÇÃO'!$E:$E,'MOVIMENTAÇÃO'!$C:$C,A161,'MOVIMENTAÇÃO'!$B:$B,"PERDA")</f>
        <v>0</v>
      </c>
      <c r="G161" s="51">
        <f t="shared" si="2"/>
        <v>0</v>
      </c>
      <c r="I161" s="34"/>
    </row>
    <row r="162" ht="22.5" customHeight="1">
      <c r="A162" s="35"/>
      <c r="B162" s="35"/>
      <c r="C162" s="35"/>
      <c r="D162" s="50"/>
      <c r="F162" s="51">
        <f>SUMIFS('MOVIMENTAÇÃO'!$E:$E,'MOVIMENTAÇÃO'!$C:$C,A162,'MOVIMENTAÇÃO'!$B:$B,"PERDA")</f>
        <v>0</v>
      </c>
      <c r="G162" s="51">
        <f t="shared" si="2"/>
        <v>0</v>
      </c>
      <c r="I162" s="34"/>
    </row>
    <row r="163" ht="22.5" customHeight="1">
      <c r="A163" s="35"/>
      <c r="B163" s="35"/>
      <c r="C163" s="35"/>
      <c r="D163" s="50"/>
      <c r="F163" s="51">
        <f>SUMIFS('MOVIMENTAÇÃO'!$E:$E,'MOVIMENTAÇÃO'!$C:$C,A163,'MOVIMENTAÇÃO'!$B:$B,"PERDA")</f>
        <v>0</v>
      </c>
      <c r="G163" s="51">
        <f t="shared" si="2"/>
        <v>0</v>
      </c>
      <c r="I163" s="34"/>
    </row>
    <row r="164" ht="22.5" customHeight="1">
      <c r="A164" s="35"/>
      <c r="B164" s="35"/>
      <c r="C164" s="35"/>
      <c r="D164" s="50"/>
      <c r="F164" s="51">
        <f>SUMIFS('MOVIMENTAÇÃO'!$E:$E,'MOVIMENTAÇÃO'!$C:$C,A164,'MOVIMENTAÇÃO'!$B:$B,"PERDA")</f>
        <v>0</v>
      </c>
      <c r="G164" s="51">
        <f t="shared" si="2"/>
        <v>0</v>
      </c>
      <c r="I164" s="34"/>
    </row>
    <row r="165" ht="22.5" customHeight="1">
      <c r="A165" s="35"/>
      <c r="B165" s="35"/>
      <c r="C165" s="35"/>
      <c r="D165" s="50"/>
      <c r="F165" s="51">
        <f>SUMIFS('MOVIMENTAÇÃO'!$E:$E,'MOVIMENTAÇÃO'!$C:$C,A165,'MOVIMENTAÇÃO'!$B:$B,"PERDA")</f>
        <v>0</v>
      </c>
      <c r="G165" s="51">
        <f t="shared" si="2"/>
        <v>0</v>
      </c>
      <c r="I165" s="34"/>
    </row>
    <row r="166" ht="22.5" customHeight="1">
      <c r="A166" s="35"/>
      <c r="B166" s="35"/>
      <c r="C166" s="35"/>
      <c r="D166" s="50"/>
      <c r="F166" s="51">
        <f>SUMIFS('MOVIMENTAÇÃO'!$E:$E,'MOVIMENTAÇÃO'!$C:$C,A166,'MOVIMENTAÇÃO'!$B:$B,"PERDA")</f>
        <v>0</v>
      </c>
      <c r="G166" s="51">
        <f t="shared" si="2"/>
        <v>0</v>
      </c>
      <c r="I166" s="34"/>
    </row>
    <row r="167" ht="22.5" customHeight="1">
      <c r="A167" s="35"/>
      <c r="B167" s="35"/>
      <c r="C167" s="35"/>
      <c r="D167" s="50"/>
      <c r="F167" s="51">
        <f>SUMIFS('MOVIMENTAÇÃO'!$E:$E,'MOVIMENTAÇÃO'!$C:$C,A167,'MOVIMENTAÇÃO'!$B:$B,"PERDA")</f>
        <v>0</v>
      </c>
      <c r="G167" s="51">
        <f t="shared" si="2"/>
        <v>0</v>
      </c>
      <c r="I167" s="34"/>
    </row>
    <row r="168" ht="22.5" customHeight="1">
      <c r="A168" s="35"/>
      <c r="B168" s="35"/>
      <c r="C168" s="35"/>
      <c r="D168" s="50"/>
      <c r="F168" s="51">
        <f>SUMIFS('MOVIMENTAÇÃO'!$E:$E,'MOVIMENTAÇÃO'!$C:$C,A168,'MOVIMENTAÇÃO'!$B:$B,"PERDA")</f>
        <v>0</v>
      </c>
      <c r="G168" s="51">
        <f t="shared" si="2"/>
        <v>0</v>
      </c>
      <c r="I168" s="34"/>
    </row>
    <row r="169" ht="22.5" customHeight="1">
      <c r="A169" s="35"/>
      <c r="B169" s="35"/>
      <c r="C169" s="35"/>
      <c r="D169" s="50"/>
      <c r="F169" s="51">
        <f>SUMIFS('MOVIMENTAÇÃO'!$E:$E,'MOVIMENTAÇÃO'!$C:$C,A169,'MOVIMENTAÇÃO'!$B:$B,"PERDA")</f>
        <v>0</v>
      </c>
      <c r="G169" s="51">
        <f t="shared" si="2"/>
        <v>0</v>
      </c>
      <c r="I169" s="34"/>
    </row>
    <row r="170" ht="22.5" customHeight="1">
      <c r="A170" s="35"/>
      <c r="B170" s="35"/>
      <c r="C170" s="35"/>
      <c r="D170" s="50"/>
      <c r="F170" s="51">
        <f>SUMIFS('MOVIMENTAÇÃO'!$E:$E,'MOVIMENTAÇÃO'!$C:$C,A170,'MOVIMENTAÇÃO'!$B:$B,"PERDA")</f>
        <v>0</v>
      </c>
      <c r="G170" s="51">
        <f t="shared" si="2"/>
        <v>0</v>
      </c>
      <c r="I170" s="34"/>
    </row>
    <row r="171" ht="22.5" customHeight="1">
      <c r="A171" s="35"/>
      <c r="B171" s="35"/>
      <c r="C171" s="35"/>
      <c r="D171" s="50"/>
      <c r="F171" s="51">
        <f>SUMIFS('MOVIMENTAÇÃO'!$E:$E,'MOVIMENTAÇÃO'!$C:$C,A171,'MOVIMENTAÇÃO'!$B:$B,"PERDA")</f>
        <v>0</v>
      </c>
      <c r="G171" s="51">
        <f t="shared" si="2"/>
        <v>0</v>
      </c>
      <c r="I171" s="34"/>
    </row>
    <row r="172" ht="22.5" customHeight="1">
      <c r="A172" s="35"/>
      <c r="B172" s="35"/>
      <c r="C172" s="35"/>
      <c r="D172" s="50"/>
      <c r="F172" s="51">
        <f>SUMIFS('MOVIMENTAÇÃO'!$E:$E,'MOVIMENTAÇÃO'!$C:$C,A172,'MOVIMENTAÇÃO'!$B:$B,"PERDA")</f>
        <v>0</v>
      </c>
      <c r="G172" s="51">
        <f t="shared" si="2"/>
        <v>0</v>
      </c>
      <c r="I172" s="34"/>
    </row>
    <row r="173" ht="22.5" customHeight="1">
      <c r="A173" s="35"/>
      <c r="B173" s="35"/>
      <c r="C173" s="35"/>
      <c r="D173" s="50"/>
      <c r="F173" s="51">
        <f>SUMIFS('MOVIMENTAÇÃO'!$E:$E,'MOVIMENTAÇÃO'!$C:$C,A173,'MOVIMENTAÇÃO'!$B:$B,"PERDA")</f>
        <v>0</v>
      </c>
      <c r="G173" s="51">
        <f t="shared" si="2"/>
        <v>0</v>
      </c>
      <c r="I173" s="34"/>
    </row>
    <row r="174" ht="22.5" customHeight="1">
      <c r="A174" s="35"/>
      <c r="B174" s="35"/>
      <c r="C174" s="35"/>
      <c r="D174" s="50"/>
      <c r="F174" s="51">
        <f>SUMIFS('MOVIMENTAÇÃO'!$E:$E,'MOVIMENTAÇÃO'!$C:$C,A174,'MOVIMENTAÇÃO'!$B:$B,"PERDA")</f>
        <v>0</v>
      </c>
      <c r="G174" s="51">
        <f t="shared" si="2"/>
        <v>0</v>
      </c>
      <c r="I174" s="34"/>
    </row>
    <row r="175" ht="22.5" customHeight="1">
      <c r="A175" s="35"/>
      <c r="B175" s="35"/>
      <c r="C175" s="35"/>
      <c r="D175" s="50"/>
      <c r="F175" s="51">
        <f>SUMIFS('MOVIMENTAÇÃO'!$E:$E,'MOVIMENTAÇÃO'!$C:$C,A175,'MOVIMENTAÇÃO'!$B:$B,"PERDA")</f>
        <v>0</v>
      </c>
      <c r="G175" s="51">
        <f t="shared" si="2"/>
        <v>0</v>
      </c>
      <c r="I175" s="34"/>
    </row>
    <row r="176" ht="22.5" customHeight="1">
      <c r="A176" s="35"/>
      <c r="B176" s="35"/>
      <c r="C176" s="35"/>
      <c r="D176" s="50"/>
      <c r="F176" s="51">
        <f>SUMIFS('MOVIMENTAÇÃO'!$E:$E,'MOVIMENTAÇÃO'!$C:$C,A176,'MOVIMENTAÇÃO'!$B:$B,"PERDA")</f>
        <v>0</v>
      </c>
      <c r="G176" s="51">
        <f t="shared" si="2"/>
        <v>0</v>
      </c>
      <c r="I176" s="34"/>
    </row>
    <row r="177" ht="22.5" customHeight="1">
      <c r="A177" s="35"/>
      <c r="B177" s="35"/>
      <c r="C177" s="35"/>
      <c r="D177" s="50"/>
      <c r="F177" s="51">
        <f>SUMIFS('MOVIMENTAÇÃO'!$E:$E,'MOVIMENTAÇÃO'!$C:$C,A177,'MOVIMENTAÇÃO'!$B:$B,"PERDA")</f>
        <v>0</v>
      </c>
      <c r="G177" s="51">
        <f t="shared" si="2"/>
        <v>0</v>
      </c>
      <c r="I177" s="34"/>
    </row>
    <row r="178" ht="22.5" customHeight="1">
      <c r="A178" s="35"/>
      <c r="B178" s="35"/>
      <c r="C178" s="35"/>
      <c r="D178" s="50"/>
      <c r="F178" s="51">
        <f>SUMIFS('MOVIMENTAÇÃO'!$E:$E,'MOVIMENTAÇÃO'!$C:$C,A178,'MOVIMENTAÇÃO'!$B:$B,"PERDA")</f>
        <v>0</v>
      </c>
      <c r="G178" s="51">
        <f t="shared" si="2"/>
        <v>0</v>
      </c>
      <c r="I178" s="34"/>
    </row>
    <row r="179" ht="22.5" customHeight="1">
      <c r="A179" s="35"/>
      <c r="B179" s="35"/>
      <c r="C179" s="35"/>
      <c r="D179" s="50"/>
      <c r="F179" s="51">
        <f>SUMIFS('MOVIMENTAÇÃO'!$E:$E,'MOVIMENTAÇÃO'!$C:$C,A179,'MOVIMENTAÇÃO'!$B:$B,"PERDA")</f>
        <v>0</v>
      </c>
      <c r="G179" s="51">
        <f t="shared" si="2"/>
        <v>0</v>
      </c>
      <c r="I179" s="34"/>
    </row>
    <row r="180" ht="22.5" customHeight="1">
      <c r="A180" s="35"/>
      <c r="B180" s="35"/>
      <c r="C180" s="35"/>
      <c r="D180" s="50"/>
      <c r="F180" s="51">
        <f>SUMIFS('MOVIMENTAÇÃO'!$E:$E,'MOVIMENTAÇÃO'!$C:$C,A180,'MOVIMENTAÇÃO'!$B:$B,"PERDA")</f>
        <v>0</v>
      </c>
      <c r="G180" s="51">
        <f t="shared" si="2"/>
        <v>0</v>
      </c>
      <c r="I180" s="34"/>
    </row>
    <row r="181" ht="22.5" customHeight="1">
      <c r="A181" s="35"/>
      <c r="B181" s="35"/>
      <c r="C181" s="35"/>
      <c r="D181" s="50"/>
      <c r="F181" s="51">
        <f>SUMIFS('MOVIMENTAÇÃO'!$E:$E,'MOVIMENTAÇÃO'!$C:$C,A181,'MOVIMENTAÇÃO'!$B:$B,"PERDA")</f>
        <v>0</v>
      </c>
      <c r="G181" s="51">
        <f t="shared" si="2"/>
        <v>0</v>
      </c>
      <c r="I181" s="34"/>
    </row>
    <row r="182" ht="22.5" customHeight="1">
      <c r="A182" s="35"/>
      <c r="B182" s="35"/>
      <c r="C182" s="35"/>
      <c r="D182" s="50"/>
      <c r="F182" s="51">
        <f>SUMIFS('MOVIMENTAÇÃO'!$E:$E,'MOVIMENTAÇÃO'!$C:$C,A182,'MOVIMENTAÇÃO'!$B:$B,"PERDA")</f>
        <v>0</v>
      </c>
      <c r="G182" s="51">
        <f t="shared" si="2"/>
        <v>0</v>
      </c>
      <c r="I182" s="34"/>
    </row>
    <row r="183" ht="22.5" customHeight="1">
      <c r="A183" s="35"/>
      <c r="B183" s="35"/>
      <c r="C183" s="35"/>
      <c r="D183" s="50"/>
      <c r="F183" s="51">
        <f>SUMIFS('MOVIMENTAÇÃO'!$E:$E,'MOVIMENTAÇÃO'!$C:$C,A183,'MOVIMENTAÇÃO'!$B:$B,"PERDA")</f>
        <v>0</v>
      </c>
      <c r="G183" s="51">
        <f t="shared" si="2"/>
        <v>0</v>
      </c>
      <c r="I183" s="34"/>
    </row>
    <row r="184" ht="22.5" customHeight="1">
      <c r="A184" s="35"/>
      <c r="B184" s="35"/>
      <c r="C184" s="35"/>
      <c r="D184" s="50"/>
      <c r="F184" s="51">
        <f>SUMIFS('MOVIMENTAÇÃO'!$E:$E,'MOVIMENTAÇÃO'!$C:$C,A184,'MOVIMENTAÇÃO'!$B:$B,"PERDA")</f>
        <v>0</v>
      </c>
      <c r="G184" s="51">
        <f t="shared" si="2"/>
        <v>0</v>
      </c>
      <c r="I184" s="34"/>
    </row>
    <row r="185" ht="22.5" customHeight="1">
      <c r="A185" s="35"/>
      <c r="B185" s="35"/>
      <c r="C185" s="35"/>
      <c r="D185" s="50"/>
      <c r="F185" s="51">
        <f>SUMIFS('MOVIMENTAÇÃO'!$E:$E,'MOVIMENTAÇÃO'!$C:$C,A185,'MOVIMENTAÇÃO'!$B:$B,"PERDA")</f>
        <v>0</v>
      </c>
      <c r="G185" s="51">
        <f t="shared" si="2"/>
        <v>0</v>
      </c>
      <c r="I185" s="34"/>
    </row>
    <row r="186" ht="22.5" customHeight="1">
      <c r="A186" s="35"/>
      <c r="B186" s="35"/>
      <c r="C186" s="35"/>
      <c r="D186" s="50"/>
      <c r="F186" s="51">
        <f>SUMIFS('MOVIMENTAÇÃO'!$E:$E,'MOVIMENTAÇÃO'!$C:$C,A186,'MOVIMENTAÇÃO'!$B:$B,"PERDA")</f>
        <v>0</v>
      </c>
      <c r="G186" s="51">
        <f t="shared" si="2"/>
        <v>0</v>
      </c>
      <c r="I186" s="34"/>
    </row>
    <row r="187" ht="22.5" customHeight="1">
      <c r="A187" s="35"/>
      <c r="B187" s="35"/>
      <c r="C187" s="35"/>
      <c r="D187" s="50"/>
      <c r="F187" s="51">
        <f>SUMIFS('MOVIMENTAÇÃO'!$E:$E,'MOVIMENTAÇÃO'!$C:$C,A187,'MOVIMENTAÇÃO'!$B:$B,"PERDA")</f>
        <v>0</v>
      </c>
      <c r="G187" s="51">
        <f t="shared" si="2"/>
        <v>0</v>
      </c>
      <c r="I187" s="34"/>
    </row>
    <row r="188" ht="22.5" customHeight="1">
      <c r="A188" s="35"/>
      <c r="B188" s="35"/>
      <c r="C188" s="35"/>
      <c r="D188" s="50"/>
      <c r="F188" s="51">
        <f>SUMIFS('MOVIMENTAÇÃO'!$E:$E,'MOVIMENTAÇÃO'!$C:$C,A188,'MOVIMENTAÇÃO'!$B:$B,"PERDA")</f>
        <v>0</v>
      </c>
      <c r="G188" s="51">
        <f t="shared" si="2"/>
        <v>0</v>
      </c>
      <c r="I188" s="34"/>
    </row>
    <row r="189" ht="22.5" customHeight="1">
      <c r="A189" s="35"/>
      <c r="B189" s="35"/>
      <c r="C189" s="35"/>
      <c r="D189" s="50"/>
      <c r="F189" s="51">
        <f>SUMIFS('MOVIMENTAÇÃO'!$E:$E,'MOVIMENTAÇÃO'!$C:$C,A189,'MOVIMENTAÇÃO'!$B:$B,"PERDA")</f>
        <v>0</v>
      </c>
      <c r="G189" s="51">
        <f t="shared" si="2"/>
        <v>0</v>
      </c>
      <c r="I189" s="34"/>
    </row>
    <row r="190" ht="22.5" customHeight="1">
      <c r="A190" s="35"/>
      <c r="B190" s="35"/>
      <c r="C190" s="35"/>
      <c r="D190" s="50"/>
      <c r="F190" s="51">
        <f>SUMIFS('MOVIMENTAÇÃO'!$E:$E,'MOVIMENTAÇÃO'!$C:$C,A190,'MOVIMENTAÇÃO'!$B:$B,"PERDA")</f>
        <v>0</v>
      </c>
      <c r="G190" s="51">
        <f t="shared" si="2"/>
        <v>0</v>
      </c>
      <c r="I190" s="34"/>
    </row>
    <row r="191" ht="22.5" customHeight="1">
      <c r="A191" s="35"/>
      <c r="B191" s="35"/>
      <c r="C191" s="35"/>
      <c r="D191" s="50"/>
      <c r="F191" s="51">
        <f>SUMIFS('MOVIMENTAÇÃO'!$E:$E,'MOVIMENTAÇÃO'!$C:$C,A191,'MOVIMENTAÇÃO'!$B:$B,"PERDA")</f>
        <v>0</v>
      </c>
      <c r="G191" s="51">
        <f t="shared" si="2"/>
        <v>0</v>
      </c>
      <c r="I191" s="34"/>
    </row>
    <row r="192" ht="22.5" customHeight="1">
      <c r="A192" s="35"/>
      <c r="B192" s="35"/>
      <c r="C192" s="35"/>
      <c r="D192" s="50"/>
      <c r="F192" s="51">
        <f>SUMIFS('MOVIMENTAÇÃO'!$E:$E,'MOVIMENTAÇÃO'!$C:$C,A192,'MOVIMENTAÇÃO'!$B:$B,"PERDA")</f>
        <v>0</v>
      </c>
      <c r="G192" s="51">
        <f t="shared" si="2"/>
        <v>0</v>
      </c>
      <c r="I192" s="34"/>
    </row>
    <row r="193" ht="22.5" customHeight="1">
      <c r="A193" s="35"/>
      <c r="B193" s="35"/>
      <c r="C193" s="35"/>
      <c r="D193" s="50"/>
      <c r="F193" s="51">
        <f>SUMIFS('MOVIMENTAÇÃO'!$E:$E,'MOVIMENTAÇÃO'!$C:$C,A193,'MOVIMENTAÇÃO'!$B:$B,"PERDA")</f>
        <v>0</v>
      </c>
      <c r="G193" s="51">
        <f t="shared" si="2"/>
        <v>0</v>
      </c>
      <c r="I193" s="34"/>
    </row>
    <row r="194" ht="22.5" customHeight="1">
      <c r="A194" s="35"/>
      <c r="B194" s="35"/>
      <c r="C194" s="35"/>
      <c r="D194" s="50"/>
      <c r="F194" s="51">
        <f>SUMIFS('MOVIMENTAÇÃO'!$E:$E,'MOVIMENTAÇÃO'!$C:$C,A194,'MOVIMENTAÇÃO'!$B:$B,"PERDA")</f>
        <v>0</v>
      </c>
      <c r="G194" s="51">
        <f t="shared" si="2"/>
        <v>0</v>
      </c>
      <c r="I194" s="34"/>
    </row>
    <row r="195" ht="22.5" customHeight="1">
      <c r="A195" s="35"/>
      <c r="B195" s="35"/>
      <c r="C195" s="35"/>
      <c r="D195" s="50"/>
      <c r="F195" s="51">
        <f>SUMIFS('MOVIMENTAÇÃO'!$E:$E,'MOVIMENTAÇÃO'!$C:$C,A195,'MOVIMENTAÇÃO'!$B:$B,"PERDA")</f>
        <v>0</v>
      </c>
      <c r="G195" s="51">
        <f t="shared" si="2"/>
        <v>0</v>
      </c>
      <c r="I195" s="34"/>
    </row>
    <row r="196" ht="22.5" customHeight="1">
      <c r="A196" s="35"/>
      <c r="B196" s="35"/>
      <c r="C196" s="35"/>
      <c r="D196" s="50"/>
      <c r="F196" s="51">
        <f>SUMIFS('MOVIMENTAÇÃO'!$E:$E,'MOVIMENTAÇÃO'!$C:$C,A196,'MOVIMENTAÇÃO'!$B:$B,"PERDA")</f>
        <v>0</v>
      </c>
      <c r="G196" s="51">
        <f t="shared" si="2"/>
        <v>0</v>
      </c>
      <c r="I196" s="34"/>
    </row>
    <row r="197" ht="22.5" customHeight="1">
      <c r="A197" s="35"/>
      <c r="B197" s="35"/>
      <c r="C197" s="35"/>
      <c r="D197" s="50"/>
      <c r="F197" s="51">
        <f>SUMIFS('MOVIMENTAÇÃO'!$E:$E,'MOVIMENTAÇÃO'!$C:$C,A197,'MOVIMENTAÇÃO'!$B:$B,"PERDA")</f>
        <v>0</v>
      </c>
      <c r="G197" s="51">
        <f t="shared" si="2"/>
        <v>0</v>
      </c>
      <c r="I197" s="34"/>
    </row>
    <row r="198" ht="22.5" customHeight="1">
      <c r="A198" s="35"/>
      <c r="B198" s="35"/>
      <c r="C198" s="35"/>
      <c r="D198" s="50"/>
      <c r="F198" s="51">
        <f>SUMIFS('MOVIMENTAÇÃO'!$E:$E,'MOVIMENTAÇÃO'!$C:$C,A198,'MOVIMENTAÇÃO'!$B:$B,"PERDA")</f>
        <v>0</v>
      </c>
      <c r="G198" s="51">
        <f t="shared" si="2"/>
        <v>0</v>
      </c>
      <c r="I198" s="34"/>
    </row>
    <row r="199" ht="22.5" customHeight="1">
      <c r="A199" s="35"/>
      <c r="B199" s="35"/>
      <c r="C199" s="35"/>
      <c r="D199" s="50"/>
      <c r="F199" s="51">
        <f>SUMIFS('MOVIMENTAÇÃO'!$E:$E,'MOVIMENTAÇÃO'!$C:$C,A199,'MOVIMENTAÇÃO'!$B:$B,"PERDA")</f>
        <v>0</v>
      </c>
      <c r="G199" s="51">
        <f t="shared" si="2"/>
        <v>0</v>
      </c>
      <c r="I199" s="34"/>
    </row>
    <row r="200" ht="22.5" customHeight="1">
      <c r="A200" s="35"/>
      <c r="B200" s="35"/>
      <c r="C200" s="35"/>
      <c r="D200" s="50"/>
      <c r="F200" s="51">
        <f>SUMIFS('MOVIMENTAÇÃO'!$E:$E,'MOVIMENTAÇÃO'!$C:$C,A200,'MOVIMENTAÇÃO'!$B:$B,"PERDA")</f>
        <v>0</v>
      </c>
      <c r="G200" s="51">
        <f t="shared" si="2"/>
        <v>0</v>
      </c>
      <c r="I200" s="34"/>
    </row>
    <row r="201" ht="22.5" customHeight="1">
      <c r="A201" s="35"/>
      <c r="B201" s="35"/>
      <c r="C201" s="35"/>
      <c r="D201" s="50"/>
      <c r="F201" s="51">
        <f>SUMIFS('MOVIMENTAÇÃO'!$E:$E,'MOVIMENTAÇÃO'!$C:$C,A201,'MOVIMENTAÇÃO'!$B:$B,"PERDA")</f>
        <v>0</v>
      </c>
      <c r="G201" s="51">
        <f t="shared" si="2"/>
        <v>0</v>
      </c>
      <c r="I201" s="34"/>
    </row>
    <row r="202" ht="22.5" customHeight="1">
      <c r="A202" s="35"/>
      <c r="B202" s="35"/>
      <c r="C202" s="35"/>
      <c r="D202" s="50"/>
      <c r="F202" s="51">
        <f>SUMIFS('MOVIMENTAÇÃO'!$E:$E,'MOVIMENTAÇÃO'!$C:$C,A202,'MOVIMENTAÇÃO'!$B:$B,"PERDA")</f>
        <v>0</v>
      </c>
      <c r="G202" s="51">
        <f t="shared" si="2"/>
        <v>0</v>
      </c>
      <c r="I202" s="34"/>
    </row>
    <row r="203" ht="22.5" customHeight="1">
      <c r="A203" s="35"/>
      <c r="B203" s="35"/>
      <c r="C203" s="35"/>
      <c r="D203" s="50"/>
      <c r="F203" s="51">
        <f>SUMIFS('MOVIMENTAÇÃO'!$E:$E,'MOVIMENTAÇÃO'!$C:$C,A203,'MOVIMENTAÇÃO'!$B:$B,"PERDA")</f>
        <v>0</v>
      </c>
      <c r="G203" s="51">
        <f t="shared" si="2"/>
        <v>0</v>
      </c>
      <c r="I203" s="34"/>
    </row>
    <row r="204" ht="22.5" customHeight="1">
      <c r="A204" s="35"/>
      <c r="B204" s="35"/>
      <c r="C204" s="35"/>
      <c r="D204" s="50"/>
      <c r="F204" s="51">
        <f>SUMIFS('MOVIMENTAÇÃO'!$E:$E,'MOVIMENTAÇÃO'!$C:$C,A204,'MOVIMENTAÇÃO'!$B:$B,"PERDA")</f>
        <v>0</v>
      </c>
      <c r="G204" s="51">
        <f t="shared" si="2"/>
        <v>0</v>
      </c>
      <c r="I204" s="34"/>
    </row>
    <row r="205" ht="22.5" customHeight="1">
      <c r="A205" s="35"/>
      <c r="B205" s="35"/>
      <c r="C205" s="35"/>
      <c r="D205" s="50"/>
      <c r="F205" s="51">
        <f>SUMIFS('MOVIMENTAÇÃO'!$E:$E,'MOVIMENTAÇÃO'!$C:$C,A205,'MOVIMENTAÇÃO'!$B:$B,"PERDA")</f>
        <v>0</v>
      </c>
      <c r="G205" s="51">
        <f t="shared" si="2"/>
        <v>0</v>
      </c>
      <c r="I205" s="34"/>
    </row>
    <row r="206" ht="22.5" customHeight="1">
      <c r="A206" s="35"/>
      <c r="B206" s="35"/>
      <c r="C206" s="35"/>
      <c r="D206" s="50"/>
      <c r="F206" s="51">
        <f>SUMIFS('MOVIMENTAÇÃO'!$E:$E,'MOVIMENTAÇÃO'!$C:$C,A206,'MOVIMENTAÇÃO'!$B:$B,"PERDA")</f>
        <v>0</v>
      </c>
      <c r="G206" s="51">
        <f t="shared" si="2"/>
        <v>0</v>
      </c>
      <c r="I206" s="34"/>
    </row>
    <row r="207" ht="22.5" customHeight="1">
      <c r="A207" s="35"/>
      <c r="B207" s="35"/>
      <c r="C207" s="35"/>
      <c r="D207" s="50"/>
      <c r="F207" s="51">
        <f>SUMIFS('MOVIMENTAÇÃO'!$E:$E,'MOVIMENTAÇÃO'!$C:$C,A207,'MOVIMENTAÇÃO'!$B:$B,"PERDA")</f>
        <v>0</v>
      </c>
      <c r="G207" s="51">
        <f t="shared" si="2"/>
        <v>0</v>
      </c>
      <c r="I207" s="34"/>
    </row>
    <row r="208" ht="22.5" customHeight="1">
      <c r="A208" s="35"/>
      <c r="B208" s="35"/>
      <c r="C208" s="35"/>
      <c r="D208" s="50"/>
      <c r="F208" s="51">
        <f>SUMIFS('MOVIMENTAÇÃO'!$E:$E,'MOVIMENTAÇÃO'!$C:$C,A208,'MOVIMENTAÇÃO'!$B:$B,"PERDA")</f>
        <v>0</v>
      </c>
      <c r="G208" s="51">
        <f t="shared" si="2"/>
        <v>0</v>
      </c>
      <c r="I208" s="34"/>
    </row>
    <row r="209" ht="22.5" customHeight="1">
      <c r="A209" s="35"/>
      <c r="B209" s="35"/>
      <c r="C209" s="35"/>
      <c r="D209" s="50"/>
      <c r="F209" s="51">
        <f>SUMIFS('MOVIMENTAÇÃO'!$E:$E,'MOVIMENTAÇÃO'!$C:$C,A209,'MOVIMENTAÇÃO'!$B:$B,"PERDA")</f>
        <v>0</v>
      </c>
      <c r="G209" s="51">
        <f t="shared" si="2"/>
        <v>0</v>
      </c>
      <c r="I209" s="34"/>
    </row>
    <row r="210" ht="22.5" customHeight="1">
      <c r="A210" s="35"/>
      <c r="B210" s="35"/>
      <c r="C210" s="35"/>
      <c r="D210" s="50"/>
      <c r="F210" s="51">
        <f>SUMIFS('MOVIMENTAÇÃO'!$E:$E,'MOVIMENTAÇÃO'!$C:$C,A210,'MOVIMENTAÇÃO'!$B:$B,"PERDA")</f>
        <v>0</v>
      </c>
      <c r="G210" s="51">
        <f t="shared" si="2"/>
        <v>0</v>
      </c>
      <c r="I210" s="34"/>
    </row>
    <row r="211" ht="22.5" customHeight="1">
      <c r="A211" s="35"/>
      <c r="B211" s="35"/>
      <c r="C211" s="35"/>
      <c r="D211" s="50"/>
      <c r="F211" s="51">
        <f>SUMIFS('MOVIMENTAÇÃO'!$E:$E,'MOVIMENTAÇÃO'!$C:$C,A211,'MOVIMENTAÇÃO'!$B:$B,"PERDA")</f>
        <v>0</v>
      </c>
      <c r="G211" s="51">
        <f t="shared" si="2"/>
        <v>0</v>
      </c>
      <c r="I211" s="34"/>
    </row>
    <row r="212" ht="22.5" customHeight="1">
      <c r="A212" s="35"/>
      <c r="B212" s="35"/>
      <c r="C212" s="35"/>
      <c r="D212" s="50"/>
      <c r="F212" s="51">
        <f>SUMIFS('MOVIMENTAÇÃO'!$E:$E,'MOVIMENTAÇÃO'!$C:$C,A212,'MOVIMENTAÇÃO'!$B:$B,"PERDA")</f>
        <v>0</v>
      </c>
      <c r="G212" s="51">
        <f t="shared" si="2"/>
        <v>0</v>
      </c>
      <c r="I212" s="34"/>
    </row>
    <row r="213" ht="22.5" customHeight="1">
      <c r="A213" s="35"/>
      <c r="B213" s="35"/>
      <c r="C213" s="35"/>
      <c r="D213" s="50"/>
      <c r="F213" s="51">
        <f>SUMIFS('MOVIMENTAÇÃO'!$E:$E,'MOVIMENTAÇÃO'!$C:$C,A213,'MOVIMENTAÇÃO'!$B:$B,"PERDA")</f>
        <v>0</v>
      </c>
      <c r="G213" s="51">
        <f t="shared" si="2"/>
        <v>0</v>
      </c>
      <c r="I213" s="34"/>
    </row>
    <row r="214" ht="22.5" customHeight="1">
      <c r="A214" s="35"/>
      <c r="B214" s="35"/>
      <c r="C214" s="35"/>
      <c r="D214" s="50"/>
      <c r="F214" s="51">
        <f>SUMIFS('MOVIMENTAÇÃO'!$E:$E,'MOVIMENTAÇÃO'!$C:$C,A214,'MOVIMENTAÇÃO'!$B:$B,"PERDA")</f>
        <v>0</v>
      </c>
      <c r="G214" s="51">
        <f t="shared" si="2"/>
        <v>0</v>
      </c>
      <c r="I214" s="34"/>
    </row>
    <row r="215" ht="22.5" customHeight="1">
      <c r="A215" s="35"/>
      <c r="B215" s="35"/>
      <c r="C215" s="35"/>
      <c r="D215" s="50"/>
      <c r="F215" s="51">
        <f>SUMIFS('MOVIMENTAÇÃO'!$E:$E,'MOVIMENTAÇÃO'!$C:$C,A215,'MOVIMENTAÇÃO'!$B:$B,"PERDA")</f>
        <v>0</v>
      </c>
      <c r="G215" s="51">
        <f t="shared" si="2"/>
        <v>0</v>
      </c>
      <c r="I215" s="34"/>
    </row>
    <row r="216" ht="22.5" customHeight="1">
      <c r="A216" s="35"/>
      <c r="B216" s="35"/>
      <c r="C216" s="35"/>
      <c r="D216" s="50"/>
      <c r="F216" s="51">
        <f>SUMIFS('MOVIMENTAÇÃO'!$E:$E,'MOVIMENTAÇÃO'!$C:$C,A216,'MOVIMENTAÇÃO'!$B:$B,"PERDA")</f>
        <v>0</v>
      </c>
      <c r="G216" s="51">
        <f t="shared" si="2"/>
        <v>0</v>
      </c>
      <c r="I216" s="34"/>
    </row>
    <row r="217" ht="22.5" customHeight="1">
      <c r="A217" s="35"/>
      <c r="B217" s="35"/>
      <c r="C217" s="35"/>
      <c r="D217" s="50"/>
      <c r="F217" s="51">
        <f>SUMIFS('MOVIMENTAÇÃO'!$E:$E,'MOVIMENTAÇÃO'!$C:$C,A217,'MOVIMENTAÇÃO'!$B:$B,"PERDA")</f>
        <v>0</v>
      </c>
      <c r="G217" s="51">
        <f t="shared" si="2"/>
        <v>0</v>
      </c>
      <c r="I217" s="34"/>
    </row>
    <row r="218" ht="22.5" customHeight="1">
      <c r="A218" s="35"/>
      <c r="B218" s="35"/>
      <c r="C218" s="35"/>
      <c r="D218" s="50"/>
      <c r="F218" s="51">
        <f>SUMIFS('MOVIMENTAÇÃO'!$E:$E,'MOVIMENTAÇÃO'!$C:$C,A218,'MOVIMENTAÇÃO'!$B:$B,"PERDA")</f>
        <v>0</v>
      </c>
      <c r="G218" s="51">
        <f t="shared" si="2"/>
        <v>0</v>
      </c>
      <c r="I218" s="34"/>
    </row>
    <row r="219" ht="22.5" customHeight="1">
      <c r="A219" s="35"/>
      <c r="B219" s="35"/>
      <c r="C219" s="35"/>
      <c r="D219" s="50"/>
      <c r="F219" s="51">
        <f>SUMIFS('MOVIMENTAÇÃO'!$E:$E,'MOVIMENTAÇÃO'!$C:$C,A219,'MOVIMENTAÇÃO'!$B:$B,"PERDA")</f>
        <v>0</v>
      </c>
      <c r="G219" s="51">
        <f t="shared" si="2"/>
        <v>0</v>
      </c>
      <c r="I219" s="34"/>
    </row>
    <row r="220" ht="22.5" customHeight="1">
      <c r="A220" s="35"/>
      <c r="B220" s="35"/>
      <c r="C220" s="35"/>
      <c r="D220" s="50"/>
      <c r="F220" s="51">
        <f>SUMIFS('MOVIMENTAÇÃO'!$E:$E,'MOVIMENTAÇÃO'!$C:$C,A220,'MOVIMENTAÇÃO'!$B:$B,"PERDA")</f>
        <v>0</v>
      </c>
      <c r="G220" s="51">
        <f t="shared" si="2"/>
        <v>0</v>
      </c>
      <c r="I220" s="34"/>
    </row>
    <row r="221" ht="22.5" customHeight="1">
      <c r="A221" s="35"/>
      <c r="B221" s="35"/>
      <c r="C221" s="35"/>
      <c r="D221" s="50"/>
      <c r="F221" s="51">
        <f>SUMIFS('MOVIMENTAÇÃO'!$E:$E,'MOVIMENTAÇÃO'!$C:$C,A221,'MOVIMENTAÇÃO'!$B:$B,"PERDA")</f>
        <v>0</v>
      </c>
      <c r="G221" s="51">
        <f t="shared" si="2"/>
        <v>0</v>
      </c>
      <c r="I221" s="34"/>
    </row>
    <row r="222" ht="22.5" customHeight="1">
      <c r="A222" s="35"/>
      <c r="B222" s="35"/>
      <c r="C222" s="35"/>
      <c r="D222" s="50"/>
      <c r="F222" s="51">
        <f>SUMIFS('MOVIMENTAÇÃO'!$E:$E,'MOVIMENTAÇÃO'!$C:$C,A222,'MOVIMENTAÇÃO'!$B:$B,"PERDA")</f>
        <v>0</v>
      </c>
      <c r="G222" s="51">
        <f t="shared" si="2"/>
        <v>0</v>
      </c>
      <c r="I222" s="34"/>
    </row>
    <row r="223" ht="22.5" customHeight="1">
      <c r="A223" s="35"/>
      <c r="B223" s="35"/>
      <c r="C223" s="35"/>
      <c r="D223" s="50"/>
      <c r="F223" s="51">
        <f>SUMIFS('MOVIMENTAÇÃO'!$E:$E,'MOVIMENTAÇÃO'!$C:$C,A223,'MOVIMENTAÇÃO'!$B:$B,"PERDA")</f>
        <v>0</v>
      </c>
      <c r="G223" s="51">
        <f t="shared" si="2"/>
        <v>0</v>
      </c>
      <c r="I223" s="34"/>
    </row>
    <row r="224" ht="22.5" customHeight="1">
      <c r="A224" s="35"/>
      <c r="B224" s="35"/>
      <c r="C224" s="35"/>
      <c r="D224" s="50"/>
      <c r="F224" s="51">
        <f>SUMIFS('MOVIMENTAÇÃO'!$E:$E,'MOVIMENTAÇÃO'!$C:$C,A224,'MOVIMENTAÇÃO'!$B:$B,"PERDA")</f>
        <v>0</v>
      </c>
      <c r="G224" s="51">
        <f t="shared" si="2"/>
        <v>0</v>
      </c>
      <c r="I224" s="34"/>
    </row>
    <row r="225" ht="22.5" customHeight="1">
      <c r="A225" s="35"/>
      <c r="B225" s="35"/>
      <c r="C225" s="35"/>
      <c r="D225" s="50"/>
      <c r="F225" s="51">
        <f>SUMIFS('MOVIMENTAÇÃO'!$E:$E,'MOVIMENTAÇÃO'!$C:$C,A225,'MOVIMENTAÇÃO'!$B:$B,"PERDA")</f>
        <v>0</v>
      </c>
      <c r="G225" s="51">
        <f t="shared" si="2"/>
        <v>0</v>
      </c>
      <c r="I225" s="34"/>
    </row>
    <row r="226" ht="22.5" customHeight="1">
      <c r="A226" s="35"/>
      <c r="B226" s="35"/>
      <c r="C226" s="35"/>
      <c r="D226" s="50"/>
      <c r="F226" s="51">
        <f>SUMIFS('MOVIMENTAÇÃO'!$E:$E,'MOVIMENTAÇÃO'!$C:$C,A226,'MOVIMENTAÇÃO'!$B:$B,"PERDA")</f>
        <v>0</v>
      </c>
      <c r="G226" s="51">
        <f t="shared" si="2"/>
        <v>0</v>
      </c>
      <c r="I226" s="34"/>
    </row>
    <row r="227" ht="22.5" customHeight="1">
      <c r="A227" s="35"/>
      <c r="B227" s="35"/>
      <c r="C227" s="35"/>
      <c r="D227" s="50"/>
      <c r="F227" s="51">
        <f>SUMIFS('MOVIMENTAÇÃO'!$E:$E,'MOVIMENTAÇÃO'!$C:$C,A227,'MOVIMENTAÇÃO'!$B:$B,"PERDA")</f>
        <v>0</v>
      </c>
      <c r="G227" s="51">
        <f t="shared" si="2"/>
        <v>0</v>
      </c>
      <c r="I227" s="34"/>
    </row>
    <row r="228" ht="22.5" customHeight="1">
      <c r="A228" s="35"/>
      <c r="B228" s="35"/>
      <c r="C228" s="35"/>
      <c r="D228" s="50"/>
      <c r="F228" s="51">
        <f>SUMIFS('MOVIMENTAÇÃO'!$E:$E,'MOVIMENTAÇÃO'!$C:$C,A228,'MOVIMENTAÇÃO'!$B:$B,"PERDA")</f>
        <v>0</v>
      </c>
      <c r="G228" s="51">
        <f t="shared" si="2"/>
        <v>0</v>
      </c>
      <c r="I228" s="34"/>
    </row>
    <row r="229" ht="22.5" customHeight="1">
      <c r="A229" s="35"/>
      <c r="B229" s="35"/>
      <c r="C229" s="35"/>
      <c r="D229" s="50"/>
      <c r="F229" s="51">
        <f>SUMIFS('MOVIMENTAÇÃO'!$E:$E,'MOVIMENTAÇÃO'!$C:$C,A229,'MOVIMENTAÇÃO'!$B:$B,"PERDA")</f>
        <v>0</v>
      </c>
      <c r="G229" s="51">
        <f t="shared" si="2"/>
        <v>0</v>
      </c>
      <c r="I229" s="34"/>
    </row>
    <row r="230" ht="22.5" customHeight="1">
      <c r="A230" s="35"/>
      <c r="B230" s="35"/>
      <c r="C230" s="35"/>
      <c r="D230" s="50"/>
      <c r="F230" s="51">
        <f>SUMIFS('MOVIMENTAÇÃO'!$E:$E,'MOVIMENTAÇÃO'!$C:$C,A230,'MOVIMENTAÇÃO'!$B:$B,"PERDA")</f>
        <v>0</v>
      </c>
      <c r="G230" s="51">
        <f t="shared" si="2"/>
        <v>0</v>
      </c>
      <c r="I230" s="34"/>
    </row>
    <row r="231" ht="22.5" customHeight="1">
      <c r="A231" s="35"/>
      <c r="B231" s="35"/>
      <c r="C231" s="35"/>
      <c r="D231" s="50"/>
      <c r="F231" s="51">
        <f>SUMIFS('MOVIMENTAÇÃO'!$E:$E,'MOVIMENTAÇÃO'!$C:$C,A231,'MOVIMENTAÇÃO'!$B:$B,"PERDA")</f>
        <v>0</v>
      </c>
      <c r="G231" s="51">
        <f t="shared" si="2"/>
        <v>0</v>
      </c>
      <c r="I231" s="34"/>
    </row>
    <row r="232" ht="22.5" customHeight="1">
      <c r="A232" s="35"/>
      <c r="B232" s="35"/>
      <c r="C232" s="35"/>
      <c r="D232" s="50"/>
      <c r="F232" s="51">
        <f>SUMIFS('MOVIMENTAÇÃO'!$E:$E,'MOVIMENTAÇÃO'!$C:$C,A232,'MOVIMENTAÇÃO'!$B:$B,"PERDA")</f>
        <v>0</v>
      </c>
      <c r="G232" s="51">
        <f t="shared" si="2"/>
        <v>0</v>
      </c>
      <c r="I232" s="34"/>
    </row>
    <row r="233" ht="22.5" customHeight="1">
      <c r="A233" s="35"/>
      <c r="B233" s="35"/>
      <c r="C233" s="35"/>
      <c r="D233" s="50"/>
      <c r="F233" s="51">
        <f>SUMIFS('MOVIMENTAÇÃO'!$E:$E,'MOVIMENTAÇÃO'!$C:$C,A233,'MOVIMENTAÇÃO'!$B:$B,"PERDA")</f>
        <v>0</v>
      </c>
      <c r="G233" s="51">
        <f t="shared" si="2"/>
        <v>0</v>
      </c>
      <c r="I233" s="34"/>
    </row>
    <row r="234" ht="22.5" customHeight="1">
      <c r="A234" s="35"/>
      <c r="B234" s="35"/>
      <c r="C234" s="35"/>
      <c r="D234" s="50"/>
      <c r="F234" s="51">
        <f>SUMIFS('MOVIMENTAÇÃO'!$E:$E,'MOVIMENTAÇÃO'!$C:$C,A234,'MOVIMENTAÇÃO'!$B:$B,"PERDA")</f>
        <v>0</v>
      </c>
      <c r="G234" s="51">
        <f t="shared" si="2"/>
        <v>0</v>
      </c>
      <c r="I234" s="34"/>
    </row>
    <row r="235" ht="22.5" customHeight="1">
      <c r="A235" s="35"/>
      <c r="B235" s="35"/>
      <c r="C235" s="35"/>
      <c r="D235" s="50"/>
      <c r="F235" s="51">
        <f>SUMIFS('MOVIMENTAÇÃO'!$E:$E,'MOVIMENTAÇÃO'!$C:$C,A235,'MOVIMENTAÇÃO'!$B:$B,"PERDA")</f>
        <v>0</v>
      </c>
      <c r="G235" s="51">
        <f t="shared" si="2"/>
        <v>0</v>
      </c>
      <c r="I235" s="34"/>
    </row>
    <row r="236" ht="22.5" customHeight="1">
      <c r="A236" s="35"/>
      <c r="B236" s="35"/>
      <c r="C236" s="35"/>
      <c r="D236" s="50"/>
      <c r="F236" s="51">
        <f>SUMIFS('MOVIMENTAÇÃO'!$E:$E,'MOVIMENTAÇÃO'!$C:$C,A236,'MOVIMENTAÇÃO'!$B:$B,"PERDA")</f>
        <v>0</v>
      </c>
      <c r="G236" s="51">
        <f t="shared" si="2"/>
        <v>0</v>
      </c>
      <c r="I236" s="34"/>
    </row>
    <row r="237" ht="22.5" customHeight="1">
      <c r="A237" s="35"/>
      <c r="B237" s="35"/>
      <c r="C237" s="35"/>
      <c r="D237" s="50"/>
      <c r="F237" s="51">
        <f>SUMIFS('MOVIMENTAÇÃO'!$E:$E,'MOVIMENTAÇÃO'!$C:$C,A237,'MOVIMENTAÇÃO'!$B:$B,"PERDA")</f>
        <v>0</v>
      </c>
      <c r="G237" s="51">
        <f t="shared" si="2"/>
        <v>0</v>
      </c>
      <c r="I237" s="34"/>
    </row>
    <row r="238" ht="22.5" customHeight="1">
      <c r="A238" s="35"/>
      <c r="B238" s="35"/>
      <c r="C238" s="35"/>
      <c r="D238" s="50"/>
      <c r="F238" s="51">
        <f>SUMIFS('MOVIMENTAÇÃO'!$E:$E,'MOVIMENTAÇÃO'!$C:$C,A238,'MOVIMENTAÇÃO'!$B:$B,"PERDA")</f>
        <v>0</v>
      </c>
      <c r="G238" s="51">
        <f t="shared" si="2"/>
        <v>0</v>
      </c>
      <c r="I238" s="34"/>
    </row>
    <row r="239" ht="22.5" customHeight="1">
      <c r="A239" s="35"/>
      <c r="B239" s="35"/>
      <c r="C239" s="35"/>
      <c r="D239" s="50"/>
      <c r="F239" s="51">
        <f>SUMIFS('MOVIMENTAÇÃO'!$E:$E,'MOVIMENTAÇÃO'!$C:$C,A239,'MOVIMENTAÇÃO'!$B:$B,"PERDA")</f>
        <v>0</v>
      </c>
      <c r="G239" s="51">
        <f t="shared" si="2"/>
        <v>0</v>
      </c>
      <c r="I239" s="34"/>
    </row>
    <row r="240" ht="22.5" customHeight="1">
      <c r="A240" s="35"/>
      <c r="B240" s="35"/>
      <c r="C240" s="35"/>
      <c r="D240" s="50"/>
      <c r="F240" s="51">
        <f>SUMIFS('MOVIMENTAÇÃO'!$E:$E,'MOVIMENTAÇÃO'!$C:$C,A240,'MOVIMENTAÇÃO'!$B:$B,"PERDA")</f>
        <v>0</v>
      </c>
      <c r="G240" s="51">
        <f t="shared" si="2"/>
        <v>0</v>
      </c>
      <c r="I240" s="34"/>
    </row>
    <row r="241" ht="22.5" customHeight="1">
      <c r="A241" s="35"/>
      <c r="B241" s="35"/>
      <c r="C241" s="35"/>
      <c r="D241" s="50"/>
      <c r="F241" s="51">
        <f>SUMIFS('MOVIMENTAÇÃO'!$E:$E,'MOVIMENTAÇÃO'!$C:$C,A241,'MOVIMENTAÇÃO'!$B:$B,"PERDA")</f>
        <v>0</v>
      </c>
      <c r="G241" s="51">
        <f t="shared" si="2"/>
        <v>0</v>
      </c>
      <c r="I241" s="34"/>
    </row>
    <row r="242" ht="22.5" customHeight="1">
      <c r="A242" s="35"/>
      <c r="B242" s="35"/>
      <c r="C242" s="35"/>
      <c r="D242" s="50"/>
      <c r="F242" s="51">
        <f>SUMIFS('MOVIMENTAÇÃO'!$E:$E,'MOVIMENTAÇÃO'!$C:$C,A242,'MOVIMENTAÇÃO'!$B:$B,"PERDA")</f>
        <v>0</v>
      </c>
      <c r="G242" s="51">
        <f t="shared" si="2"/>
        <v>0</v>
      </c>
      <c r="I242" s="34"/>
    </row>
    <row r="243" ht="22.5" customHeight="1">
      <c r="A243" s="35"/>
      <c r="B243" s="35"/>
      <c r="C243" s="35"/>
      <c r="D243" s="50"/>
      <c r="F243" s="51">
        <f>SUMIFS('MOVIMENTAÇÃO'!$E:$E,'MOVIMENTAÇÃO'!$C:$C,A243,'MOVIMENTAÇÃO'!$B:$B,"PERDA")</f>
        <v>0</v>
      </c>
      <c r="G243" s="51">
        <f t="shared" si="2"/>
        <v>0</v>
      </c>
      <c r="I243" s="34"/>
    </row>
    <row r="244" ht="22.5" customHeight="1">
      <c r="A244" s="35"/>
      <c r="B244" s="35"/>
      <c r="C244" s="35"/>
      <c r="D244" s="50"/>
      <c r="F244" s="51">
        <f>SUMIFS('MOVIMENTAÇÃO'!$E:$E,'MOVIMENTAÇÃO'!$C:$C,A244,'MOVIMENTAÇÃO'!$B:$B,"PERDA")</f>
        <v>0</v>
      </c>
      <c r="G244" s="51">
        <f t="shared" si="2"/>
        <v>0</v>
      </c>
      <c r="I244" s="34"/>
    </row>
    <row r="245" ht="22.5" customHeight="1">
      <c r="A245" s="35"/>
      <c r="B245" s="35"/>
      <c r="C245" s="35"/>
      <c r="D245" s="50"/>
      <c r="F245" s="51">
        <f>SUMIFS('MOVIMENTAÇÃO'!$E:$E,'MOVIMENTAÇÃO'!$C:$C,A245,'MOVIMENTAÇÃO'!$B:$B,"PERDA")</f>
        <v>0</v>
      </c>
      <c r="G245" s="51">
        <f t="shared" si="2"/>
        <v>0</v>
      </c>
      <c r="I245" s="34"/>
    </row>
    <row r="246" ht="22.5" customHeight="1">
      <c r="A246" s="35"/>
      <c r="B246" s="35"/>
      <c r="C246" s="35"/>
      <c r="D246" s="50"/>
      <c r="F246" s="51">
        <f>SUMIFS('MOVIMENTAÇÃO'!$E:$E,'MOVIMENTAÇÃO'!$C:$C,A246,'MOVIMENTAÇÃO'!$B:$B,"PERDA")</f>
        <v>0</v>
      </c>
      <c r="G246" s="51">
        <f t="shared" si="2"/>
        <v>0</v>
      </c>
      <c r="I246" s="34"/>
    </row>
    <row r="247" ht="22.5" customHeight="1">
      <c r="A247" s="35"/>
      <c r="B247" s="35"/>
      <c r="C247" s="35"/>
      <c r="D247" s="50"/>
      <c r="F247" s="51">
        <f>SUMIFS('MOVIMENTAÇÃO'!$E:$E,'MOVIMENTAÇÃO'!$C:$C,A247,'MOVIMENTAÇÃO'!$B:$B,"PERDA")</f>
        <v>0</v>
      </c>
      <c r="G247" s="51">
        <f t="shared" si="2"/>
        <v>0</v>
      </c>
      <c r="I247" s="34"/>
    </row>
    <row r="248" ht="22.5" customHeight="1">
      <c r="A248" s="35"/>
      <c r="B248" s="35"/>
      <c r="C248" s="35"/>
      <c r="D248" s="50"/>
      <c r="F248" s="51">
        <f>SUMIFS('MOVIMENTAÇÃO'!$E:$E,'MOVIMENTAÇÃO'!$C:$C,A248,'MOVIMENTAÇÃO'!$B:$B,"PERDA")</f>
        <v>0</v>
      </c>
      <c r="G248" s="51">
        <f t="shared" si="2"/>
        <v>0</v>
      </c>
      <c r="I248" s="34"/>
    </row>
    <row r="249" ht="22.5" customHeight="1">
      <c r="A249" s="35"/>
      <c r="B249" s="35"/>
      <c r="C249" s="35"/>
      <c r="D249" s="50"/>
      <c r="F249" s="51">
        <f>SUMIFS('MOVIMENTAÇÃO'!$E:$E,'MOVIMENTAÇÃO'!$C:$C,A249,'MOVIMENTAÇÃO'!$B:$B,"PERDA")</f>
        <v>0</v>
      </c>
      <c r="G249" s="51">
        <f t="shared" si="2"/>
        <v>0</v>
      </c>
      <c r="I249" s="34"/>
    </row>
    <row r="250" ht="22.5" customHeight="1">
      <c r="A250" s="35"/>
      <c r="B250" s="35"/>
      <c r="C250" s="35"/>
      <c r="D250" s="50"/>
      <c r="F250" s="51">
        <f>SUMIFS('MOVIMENTAÇÃO'!$E:$E,'MOVIMENTAÇÃO'!$C:$C,A250,'MOVIMENTAÇÃO'!$B:$B,"PERDA")</f>
        <v>0</v>
      </c>
      <c r="G250" s="51">
        <f t="shared" si="2"/>
        <v>0</v>
      </c>
      <c r="I250" s="34"/>
    </row>
    <row r="251" ht="22.5" customHeight="1">
      <c r="A251" s="35"/>
      <c r="B251" s="35"/>
      <c r="C251" s="35"/>
      <c r="D251" s="50"/>
      <c r="F251" s="51">
        <f>SUMIFS('MOVIMENTAÇÃO'!$E:$E,'MOVIMENTAÇÃO'!$C:$C,A251,'MOVIMENTAÇÃO'!$B:$B,"PERDA")</f>
        <v>0</v>
      </c>
      <c r="G251" s="51">
        <f t="shared" si="2"/>
        <v>0</v>
      </c>
      <c r="I251" s="34"/>
    </row>
    <row r="252" ht="22.5" customHeight="1">
      <c r="A252" s="35"/>
      <c r="B252" s="35"/>
      <c r="C252" s="35"/>
      <c r="D252" s="50"/>
      <c r="F252" s="51">
        <f>SUMIFS('MOVIMENTAÇÃO'!$E:$E,'MOVIMENTAÇÃO'!$C:$C,A252,'MOVIMENTAÇÃO'!$B:$B,"PERDA")</f>
        <v>0</v>
      </c>
      <c r="G252" s="51">
        <f t="shared" si="2"/>
        <v>0</v>
      </c>
      <c r="I252" s="34"/>
    </row>
    <row r="253" ht="22.5" customHeight="1">
      <c r="A253" s="35"/>
      <c r="B253" s="35"/>
      <c r="C253" s="35"/>
      <c r="D253" s="50"/>
      <c r="F253" s="51">
        <f>SUMIFS('MOVIMENTAÇÃO'!$E:$E,'MOVIMENTAÇÃO'!$C:$C,A253,'MOVIMENTAÇÃO'!$B:$B,"PERDA")</f>
        <v>0</v>
      </c>
      <c r="G253" s="51">
        <f t="shared" si="2"/>
        <v>0</v>
      </c>
      <c r="I253" s="34"/>
    </row>
    <row r="254" ht="22.5" customHeight="1">
      <c r="A254" s="35"/>
      <c r="B254" s="35"/>
      <c r="C254" s="35"/>
      <c r="D254" s="50"/>
      <c r="F254" s="51">
        <f>SUMIFS('MOVIMENTAÇÃO'!$E:$E,'MOVIMENTAÇÃO'!$C:$C,A254,'MOVIMENTAÇÃO'!$B:$B,"PERDA")</f>
        <v>0</v>
      </c>
      <c r="G254" s="51">
        <f t="shared" si="2"/>
        <v>0</v>
      </c>
      <c r="I254" s="34"/>
    </row>
    <row r="255" ht="22.5" customHeight="1">
      <c r="A255" s="35"/>
      <c r="B255" s="35"/>
      <c r="C255" s="35"/>
      <c r="D255" s="50"/>
      <c r="F255" s="51">
        <f>SUMIFS('MOVIMENTAÇÃO'!$E:$E,'MOVIMENTAÇÃO'!$C:$C,A255,'MOVIMENTAÇÃO'!$B:$B,"PERDA")</f>
        <v>0</v>
      </c>
      <c r="G255" s="51">
        <f t="shared" si="2"/>
        <v>0</v>
      </c>
      <c r="I255" s="34"/>
    </row>
    <row r="256" ht="22.5" customHeight="1">
      <c r="A256" s="35"/>
      <c r="B256" s="35"/>
      <c r="C256" s="35"/>
      <c r="D256" s="50"/>
      <c r="F256" s="51">
        <f>SUMIFS('MOVIMENTAÇÃO'!$E:$E,'MOVIMENTAÇÃO'!$C:$C,A256,'MOVIMENTAÇÃO'!$B:$B,"PERDA")</f>
        <v>0</v>
      </c>
      <c r="G256" s="51">
        <f t="shared" si="2"/>
        <v>0</v>
      </c>
      <c r="I256" s="34"/>
    </row>
    <row r="257" ht="22.5" customHeight="1">
      <c r="A257" s="35"/>
      <c r="B257" s="35"/>
      <c r="C257" s="35"/>
      <c r="D257" s="50"/>
      <c r="F257" s="51">
        <f>SUMIFS('MOVIMENTAÇÃO'!$E:$E,'MOVIMENTAÇÃO'!$C:$C,A257,'MOVIMENTAÇÃO'!$B:$B,"PERDA")</f>
        <v>0</v>
      </c>
      <c r="G257" s="51">
        <f t="shared" si="2"/>
        <v>0</v>
      </c>
      <c r="I257" s="34"/>
    </row>
    <row r="258" ht="22.5" customHeight="1">
      <c r="A258" s="35"/>
      <c r="B258" s="35"/>
      <c r="C258" s="35"/>
      <c r="D258" s="50"/>
      <c r="F258" s="51">
        <f>SUMIFS('MOVIMENTAÇÃO'!$E:$E,'MOVIMENTAÇÃO'!$C:$C,A258,'MOVIMENTAÇÃO'!$B:$B,"PERDA")</f>
        <v>0</v>
      </c>
      <c r="G258" s="51">
        <f t="shared" si="2"/>
        <v>0</v>
      </c>
      <c r="I258" s="34"/>
    </row>
    <row r="259" ht="22.5" customHeight="1">
      <c r="A259" s="35"/>
      <c r="B259" s="35"/>
      <c r="C259" s="35"/>
      <c r="D259" s="50"/>
      <c r="F259" s="51">
        <f>SUMIFS('MOVIMENTAÇÃO'!$E:$E,'MOVIMENTAÇÃO'!$C:$C,A259,'MOVIMENTAÇÃO'!$B:$B,"PERDA")</f>
        <v>0</v>
      </c>
      <c r="G259" s="51">
        <f t="shared" si="2"/>
        <v>0</v>
      </c>
      <c r="I259" s="34"/>
    </row>
    <row r="260" ht="22.5" customHeight="1">
      <c r="A260" s="35"/>
      <c r="B260" s="35"/>
      <c r="C260" s="35"/>
      <c r="D260" s="50"/>
      <c r="F260" s="51">
        <f>SUMIFS('MOVIMENTAÇÃO'!$E:$E,'MOVIMENTAÇÃO'!$C:$C,A260,'MOVIMENTAÇÃO'!$B:$B,"PERDA")</f>
        <v>0</v>
      </c>
      <c r="G260" s="51">
        <f t="shared" si="2"/>
        <v>0</v>
      </c>
      <c r="I260" s="34"/>
    </row>
    <row r="261" ht="22.5" customHeight="1">
      <c r="A261" s="35"/>
      <c r="B261" s="35"/>
      <c r="C261" s="35"/>
      <c r="D261" s="50"/>
      <c r="F261" s="51">
        <f>SUMIFS('MOVIMENTAÇÃO'!$E:$E,'MOVIMENTAÇÃO'!$C:$C,A261,'MOVIMENTAÇÃO'!$B:$B,"PERDA")</f>
        <v>0</v>
      </c>
      <c r="G261" s="51">
        <f t="shared" si="2"/>
        <v>0</v>
      </c>
      <c r="I261" s="34"/>
    </row>
    <row r="262" ht="22.5" customHeight="1">
      <c r="A262" s="35"/>
      <c r="B262" s="35"/>
      <c r="C262" s="35"/>
      <c r="D262" s="50"/>
      <c r="F262" s="51">
        <f>SUMIFS('MOVIMENTAÇÃO'!$E:$E,'MOVIMENTAÇÃO'!$C:$C,A262,'MOVIMENTAÇÃO'!$B:$B,"PERDA")</f>
        <v>0</v>
      </c>
      <c r="G262" s="51">
        <f t="shared" si="2"/>
        <v>0</v>
      </c>
      <c r="I262" s="34"/>
    </row>
    <row r="263" ht="22.5" customHeight="1">
      <c r="A263" s="35"/>
      <c r="B263" s="35"/>
      <c r="C263" s="35"/>
      <c r="D263" s="50"/>
      <c r="F263" s="51">
        <f>SUMIFS('MOVIMENTAÇÃO'!$E:$E,'MOVIMENTAÇÃO'!$C:$C,A263,'MOVIMENTAÇÃO'!$B:$B,"PERDA")</f>
        <v>0</v>
      </c>
      <c r="G263" s="51">
        <f t="shared" si="2"/>
        <v>0</v>
      </c>
      <c r="I263" s="34"/>
    </row>
    <row r="264" ht="22.5" customHeight="1">
      <c r="A264" s="35"/>
      <c r="B264" s="35"/>
      <c r="C264" s="35"/>
      <c r="D264" s="50"/>
      <c r="F264" s="51">
        <f>SUMIFS('MOVIMENTAÇÃO'!$E:$E,'MOVIMENTAÇÃO'!$C:$C,A264,'MOVIMENTAÇÃO'!$B:$B,"PERDA")</f>
        <v>0</v>
      </c>
      <c r="G264" s="51">
        <f t="shared" si="2"/>
        <v>0</v>
      </c>
      <c r="I264" s="34"/>
    </row>
    <row r="265" ht="22.5" customHeight="1">
      <c r="A265" s="35"/>
      <c r="B265" s="35"/>
      <c r="C265" s="35"/>
      <c r="D265" s="50"/>
      <c r="F265" s="51">
        <f>SUMIFS('MOVIMENTAÇÃO'!$E:$E,'MOVIMENTAÇÃO'!$C:$C,A265,'MOVIMENTAÇÃO'!$B:$B,"PERDA")</f>
        <v>0</v>
      </c>
      <c r="G265" s="51">
        <f t="shared" si="2"/>
        <v>0</v>
      </c>
      <c r="I265" s="34"/>
    </row>
    <row r="266" ht="22.5" customHeight="1">
      <c r="A266" s="35"/>
      <c r="B266" s="35"/>
      <c r="C266" s="35"/>
      <c r="D266" s="50"/>
      <c r="F266" s="51">
        <f>SUMIFS('MOVIMENTAÇÃO'!$E:$E,'MOVIMENTAÇÃO'!$C:$C,A266,'MOVIMENTAÇÃO'!$B:$B,"PERDA")</f>
        <v>0</v>
      </c>
      <c r="G266" s="51">
        <f t="shared" si="2"/>
        <v>0</v>
      </c>
      <c r="I266" s="34"/>
    </row>
    <row r="267" ht="22.5" customHeight="1">
      <c r="A267" s="35"/>
      <c r="B267" s="35"/>
      <c r="C267" s="35"/>
      <c r="D267" s="50"/>
      <c r="F267" s="51">
        <f>SUMIFS('MOVIMENTAÇÃO'!$E:$E,'MOVIMENTAÇÃO'!$C:$C,A267,'MOVIMENTAÇÃO'!$B:$B,"PERDA")</f>
        <v>0</v>
      </c>
      <c r="G267" s="51">
        <f t="shared" si="2"/>
        <v>0</v>
      </c>
      <c r="I267" s="34"/>
    </row>
    <row r="268" ht="22.5" customHeight="1">
      <c r="A268" s="35"/>
      <c r="B268" s="35"/>
      <c r="C268" s="35"/>
      <c r="D268" s="50"/>
      <c r="F268" s="51">
        <f>SUMIFS('MOVIMENTAÇÃO'!$E:$E,'MOVIMENTAÇÃO'!$C:$C,A268,'MOVIMENTAÇÃO'!$B:$B,"PERDA")</f>
        <v>0</v>
      </c>
      <c r="G268" s="51">
        <f t="shared" si="2"/>
        <v>0</v>
      </c>
      <c r="I268" s="34"/>
    </row>
    <row r="269" ht="22.5" customHeight="1">
      <c r="A269" s="35"/>
      <c r="B269" s="35"/>
      <c r="C269" s="35"/>
      <c r="D269" s="50"/>
      <c r="F269" s="51">
        <f>SUMIFS('MOVIMENTAÇÃO'!$E:$E,'MOVIMENTAÇÃO'!$C:$C,A269,'MOVIMENTAÇÃO'!$B:$B,"PERDA")</f>
        <v>0</v>
      </c>
      <c r="G269" s="51">
        <f t="shared" si="2"/>
        <v>0</v>
      </c>
      <c r="I269" s="34"/>
    </row>
    <row r="270" ht="22.5" customHeight="1">
      <c r="A270" s="35"/>
      <c r="B270" s="35"/>
      <c r="C270" s="35"/>
      <c r="D270" s="50"/>
      <c r="F270" s="51">
        <f>SUMIFS('MOVIMENTAÇÃO'!$E:$E,'MOVIMENTAÇÃO'!$C:$C,A270,'MOVIMENTAÇÃO'!$B:$B,"PERDA")</f>
        <v>0</v>
      </c>
      <c r="G270" s="51">
        <f t="shared" si="2"/>
        <v>0</v>
      </c>
      <c r="I270" s="34"/>
    </row>
    <row r="271" ht="22.5" customHeight="1">
      <c r="A271" s="35"/>
      <c r="B271" s="35"/>
      <c r="C271" s="35"/>
      <c r="D271" s="50"/>
      <c r="F271" s="51">
        <f>SUMIFS('MOVIMENTAÇÃO'!$E:$E,'MOVIMENTAÇÃO'!$C:$C,A271,'MOVIMENTAÇÃO'!$B:$B,"PERDA")</f>
        <v>0</v>
      </c>
      <c r="G271" s="51">
        <f t="shared" si="2"/>
        <v>0</v>
      </c>
      <c r="I271" s="34"/>
    </row>
    <row r="272" ht="22.5" customHeight="1">
      <c r="A272" s="35"/>
      <c r="B272" s="35"/>
      <c r="C272" s="35"/>
      <c r="D272" s="50"/>
      <c r="F272" s="51">
        <f>SUMIFS('MOVIMENTAÇÃO'!$E:$E,'MOVIMENTAÇÃO'!$C:$C,A272,'MOVIMENTAÇÃO'!$B:$B,"PERDA")</f>
        <v>0</v>
      </c>
      <c r="G272" s="51">
        <f t="shared" si="2"/>
        <v>0</v>
      </c>
      <c r="I272" s="34"/>
    </row>
    <row r="273" ht="22.5" customHeight="1">
      <c r="A273" s="35"/>
      <c r="B273" s="35"/>
      <c r="C273" s="35"/>
      <c r="D273" s="50"/>
      <c r="F273" s="51">
        <f>SUMIFS('MOVIMENTAÇÃO'!$E:$E,'MOVIMENTAÇÃO'!$C:$C,A273,'MOVIMENTAÇÃO'!$B:$B,"PERDA")</f>
        <v>0</v>
      </c>
      <c r="G273" s="51">
        <f t="shared" si="2"/>
        <v>0</v>
      </c>
      <c r="I273" s="34"/>
    </row>
    <row r="274" ht="22.5" customHeight="1">
      <c r="A274" s="35"/>
      <c r="B274" s="35"/>
      <c r="C274" s="35"/>
      <c r="D274" s="50"/>
      <c r="F274" s="51">
        <f>SUMIFS('MOVIMENTAÇÃO'!$E:$E,'MOVIMENTAÇÃO'!$C:$C,A274,'MOVIMENTAÇÃO'!$B:$B,"PERDA")</f>
        <v>0</v>
      </c>
      <c r="G274" s="51">
        <f t="shared" si="2"/>
        <v>0</v>
      </c>
      <c r="I274" s="34"/>
    </row>
    <row r="275" ht="22.5" customHeight="1">
      <c r="A275" s="35"/>
      <c r="B275" s="35"/>
      <c r="C275" s="35"/>
      <c r="D275" s="50"/>
      <c r="F275" s="51">
        <f>SUMIFS('MOVIMENTAÇÃO'!$E:$E,'MOVIMENTAÇÃO'!$C:$C,A275,'MOVIMENTAÇÃO'!$B:$B,"PERDA")</f>
        <v>0</v>
      </c>
      <c r="G275" s="51">
        <f t="shared" si="2"/>
        <v>0</v>
      </c>
      <c r="I275" s="34"/>
    </row>
    <row r="276" ht="22.5" customHeight="1">
      <c r="A276" s="35"/>
      <c r="B276" s="35"/>
      <c r="C276" s="35"/>
      <c r="D276" s="50"/>
      <c r="F276" s="51">
        <f>SUMIFS('MOVIMENTAÇÃO'!$E:$E,'MOVIMENTAÇÃO'!$C:$C,A276,'MOVIMENTAÇÃO'!$B:$B,"PERDA")</f>
        <v>0</v>
      </c>
      <c r="G276" s="51">
        <f t="shared" si="2"/>
        <v>0</v>
      </c>
      <c r="I276" s="34"/>
    </row>
    <row r="277" ht="22.5" customHeight="1">
      <c r="A277" s="35"/>
      <c r="B277" s="35"/>
      <c r="C277" s="35"/>
      <c r="D277" s="50"/>
      <c r="F277" s="51">
        <f>SUMIFS('MOVIMENTAÇÃO'!$E:$E,'MOVIMENTAÇÃO'!$C:$C,A277,'MOVIMENTAÇÃO'!$B:$B,"PERDA")</f>
        <v>0</v>
      </c>
      <c r="G277" s="51">
        <f t="shared" si="2"/>
        <v>0</v>
      </c>
      <c r="I277" s="34"/>
    </row>
    <row r="278" ht="22.5" customHeight="1">
      <c r="A278" s="35"/>
      <c r="B278" s="35"/>
      <c r="C278" s="35"/>
      <c r="D278" s="50"/>
      <c r="F278" s="51">
        <f>SUMIFS('MOVIMENTAÇÃO'!$E:$E,'MOVIMENTAÇÃO'!$C:$C,A278,'MOVIMENTAÇÃO'!$B:$B,"PERDA")</f>
        <v>0</v>
      </c>
      <c r="G278" s="51">
        <f t="shared" si="2"/>
        <v>0</v>
      </c>
      <c r="I278" s="34"/>
    </row>
    <row r="279" ht="22.5" customHeight="1">
      <c r="A279" s="35"/>
      <c r="B279" s="35"/>
      <c r="C279" s="35"/>
      <c r="D279" s="50"/>
      <c r="F279" s="51">
        <f>SUMIFS('MOVIMENTAÇÃO'!$E:$E,'MOVIMENTAÇÃO'!$C:$C,A279,'MOVIMENTAÇÃO'!$B:$B,"PERDA")</f>
        <v>0</v>
      </c>
      <c r="G279" s="51">
        <f t="shared" si="2"/>
        <v>0</v>
      </c>
      <c r="I279" s="34"/>
    </row>
    <row r="280" ht="22.5" customHeight="1">
      <c r="A280" s="35"/>
      <c r="B280" s="35"/>
      <c r="C280" s="35"/>
      <c r="D280" s="50"/>
      <c r="F280" s="51">
        <f>SUMIFS('MOVIMENTAÇÃO'!$E:$E,'MOVIMENTAÇÃO'!$C:$C,A280,'MOVIMENTAÇÃO'!$B:$B,"PERDA")</f>
        <v>0</v>
      </c>
      <c r="G280" s="51">
        <f t="shared" si="2"/>
        <v>0</v>
      </c>
      <c r="I280" s="34"/>
    </row>
    <row r="281" ht="22.5" customHeight="1">
      <c r="A281" s="35"/>
      <c r="B281" s="35"/>
      <c r="C281" s="35"/>
      <c r="D281" s="50"/>
      <c r="F281" s="51">
        <f>SUMIFS('MOVIMENTAÇÃO'!$E:$E,'MOVIMENTAÇÃO'!$C:$C,A281,'MOVIMENTAÇÃO'!$B:$B,"PERDA")</f>
        <v>0</v>
      </c>
      <c r="G281" s="51">
        <f t="shared" si="2"/>
        <v>0</v>
      </c>
      <c r="I281" s="34"/>
    </row>
    <row r="282" ht="22.5" customHeight="1">
      <c r="A282" s="35"/>
      <c r="B282" s="35"/>
      <c r="C282" s="35"/>
      <c r="D282" s="50"/>
      <c r="F282" s="51">
        <f>SUMIFS('MOVIMENTAÇÃO'!$E:$E,'MOVIMENTAÇÃO'!$C:$C,A282,'MOVIMENTAÇÃO'!$B:$B,"PERDA")</f>
        <v>0</v>
      </c>
      <c r="G282" s="51">
        <f t="shared" si="2"/>
        <v>0</v>
      </c>
      <c r="I282" s="34"/>
    </row>
    <row r="283" ht="22.5" customHeight="1">
      <c r="A283" s="35"/>
      <c r="B283" s="35"/>
      <c r="C283" s="35"/>
      <c r="D283" s="50"/>
      <c r="F283" s="51">
        <f>SUMIFS('MOVIMENTAÇÃO'!$E:$E,'MOVIMENTAÇÃO'!$C:$C,A283,'MOVIMENTAÇÃO'!$B:$B,"PERDA")</f>
        <v>0</v>
      </c>
      <c r="G283" s="51">
        <f t="shared" si="2"/>
        <v>0</v>
      </c>
      <c r="I283" s="34"/>
    </row>
    <row r="284" ht="22.5" customHeight="1">
      <c r="A284" s="35"/>
      <c r="B284" s="35"/>
      <c r="C284" s="35"/>
      <c r="D284" s="50"/>
      <c r="F284" s="51">
        <f>SUMIFS('MOVIMENTAÇÃO'!$E:$E,'MOVIMENTAÇÃO'!$C:$C,A284,'MOVIMENTAÇÃO'!$B:$B,"PERDA")</f>
        <v>0</v>
      </c>
      <c r="G284" s="51">
        <f t="shared" si="2"/>
        <v>0</v>
      </c>
      <c r="I284" s="34"/>
    </row>
    <row r="285" ht="22.5" customHeight="1">
      <c r="A285" s="35"/>
      <c r="B285" s="35"/>
      <c r="C285" s="35"/>
      <c r="D285" s="50"/>
      <c r="F285" s="51">
        <f>SUMIFS('MOVIMENTAÇÃO'!$E:$E,'MOVIMENTAÇÃO'!$C:$C,A285,'MOVIMENTAÇÃO'!$B:$B,"PERDA")</f>
        <v>0</v>
      </c>
      <c r="G285" s="51">
        <f t="shared" si="2"/>
        <v>0</v>
      </c>
      <c r="I285" s="34"/>
    </row>
    <row r="286" ht="22.5" customHeight="1">
      <c r="A286" s="35"/>
      <c r="B286" s="35"/>
      <c r="C286" s="35"/>
      <c r="D286" s="50"/>
      <c r="F286" s="51">
        <f>SUMIFS('MOVIMENTAÇÃO'!$E:$E,'MOVIMENTAÇÃO'!$C:$C,A286,'MOVIMENTAÇÃO'!$B:$B,"PERDA")</f>
        <v>0</v>
      </c>
      <c r="G286" s="51">
        <f t="shared" si="2"/>
        <v>0</v>
      </c>
      <c r="I286" s="34"/>
    </row>
    <row r="287" ht="22.5" customHeight="1">
      <c r="A287" s="35"/>
      <c r="B287" s="35"/>
      <c r="C287" s="35"/>
      <c r="D287" s="50"/>
      <c r="F287" s="51">
        <f>SUMIFS('MOVIMENTAÇÃO'!$E:$E,'MOVIMENTAÇÃO'!$C:$C,A287,'MOVIMENTAÇÃO'!$B:$B,"PERDA")</f>
        <v>0</v>
      </c>
      <c r="G287" s="51">
        <f t="shared" si="2"/>
        <v>0</v>
      </c>
      <c r="I287" s="34"/>
    </row>
    <row r="288" ht="22.5" customHeight="1">
      <c r="A288" s="35"/>
      <c r="B288" s="35"/>
      <c r="C288" s="35"/>
      <c r="D288" s="50"/>
      <c r="F288" s="51">
        <f>SUMIFS('MOVIMENTAÇÃO'!$E:$E,'MOVIMENTAÇÃO'!$C:$C,A288,'MOVIMENTAÇÃO'!$B:$B,"PERDA")</f>
        <v>0</v>
      </c>
      <c r="G288" s="51">
        <f t="shared" si="2"/>
        <v>0</v>
      </c>
      <c r="I288" s="34"/>
    </row>
    <row r="289" ht="22.5" customHeight="1">
      <c r="A289" s="35"/>
      <c r="B289" s="35"/>
      <c r="C289" s="35"/>
      <c r="D289" s="50"/>
      <c r="F289" s="51">
        <f>SUMIFS('MOVIMENTAÇÃO'!$E:$E,'MOVIMENTAÇÃO'!$C:$C,A289,'MOVIMENTAÇÃO'!$B:$B,"PERDA")</f>
        <v>0</v>
      </c>
      <c r="G289" s="51">
        <f t="shared" si="2"/>
        <v>0</v>
      </c>
      <c r="I289" s="34"/>
    </row>
    <row r="290" ht="22.5" customHeight="1">
      <c r="A290" s="35"/>
      <c r="B290" s="35"/>
      <c r="C290" s="35"/>
      <c r="D290" s="50"/>
      <c r="F290" s="51">
        <f>SUMIFS('MOVIMENTAÇÃO'!$E:$E,'MOVIMENTAÇÃO'!$C:$C,A290,'MOVIMENTAÇÃO'!$B:$B,"PERDA")</f>
        <v>0</v>
      </c>
      <c r="G290" s="51">
        <f t="shared" si="2"/>
        <v>0</v>
      </c>
      <c r="I290" s="34"/>
    </row>
    <row r="291" ht="22.5" customHeight="1">
      <c r="A291" s="35"/>
      <c r="B291" s="35"/>
      <c r="C291" s="35"/>
      <c r="D291" s="50"/>
      <c r="F291" s="51">
        <f>SUMIFS('MOVIMENTAÇÃO'!$E:$E,'MOVIMENTAÇÃO'!$C:$C,A291,'MOVIMENTAÇÃO'!$B:$B,"PERDA")</f>
        <v>0</v>
      </c>
      <c r="G291" s="51">
        <f t="shared" si="2"/>
        <v>0</v>
      </c>
      <c r="I291" s="34"/>
    </row>
    <row r="292" ht="22.5" customHeight="1">
      <c r="A292" s="35"/>
      <c r="B292" s="35"/>
      <c r="C292" s="35"/>
      <c r="D292" s="50"/>
      <c r="F292" s="51">
        <f>SUMIFS('MOVIMENTAÇÃO'!$E:$E,'MOVIMENTAÇÃO'!$C:$C,A292,'MOVIMENTAÇÃO'!$B:$B,"PERDA")</f>
        <v>0</v>
      </c>
      <c r="G292" s="51">
        <f t="shared" si="2"/>
        <v>0</v>
      </c>
      <c r="I292" s="34"/>
    </row>
    <row r="293" ht="22.5" customHeight="1">
      <c r="A293" s="35"/>
      <c r="B293" s="35"/>
      <c r="C293" s="35"/>
      <c r="D293" s="50"/>
      <c r="F293" s="51">
        <f>SUMIFS('MOVIMENTAÇÃO'!$E:$E,'MOVIMENTAÇÃO'!$C:$C,A293,'MOVIMENTAÇÃO'!$B:$B,"PERDA")</f>
        <v>0</v>
      </c>
      <c r="G293" s="51">
        <f t="shared" si="2"/>
        <v>0</v>
      </c>
      <c r="I293" s="34"/>
    </row>
    <row r="294" ht="22.5" customHeight="1">
      <c r="A294" s="35"/>
      <c r="B294" s="35"/>
      <c r="C294" s="35"/>
      <c r="D294" s="50"/>
      <c r="F294" s="51">
        <f>SUMIFS('MOVIMENTAÇÃO'!$E:$E,'MOVIMENTAÇÃO'!$C:$C,A294,'MOVIMENTAÇÃO'!$B:$B,"PERDA")</f>
        <v>0</v>
      </c>
      <c r="G294" s="51">
        <f t="shared" si="2"/>
        <v>0</v>
      </c>
      <c r="I294" s="34"/>
    </row>
    <row r="295" ht="22.5" customHeight="1">
      <c r="A295" s="35"/>
      <c r="B295" s="35"/>
      <c r="C295" s="35"/>
      <c r="D295" s="50"/>
      <c r="F295" s="51">
        <f>SUMIFS('MOVIMENTAÇÃO'!$E:$E,'MOVIMENTAÇÃO'!$C:$C,A295,'MOVIMENTAÇÃO'!$B:$B,"PERDA")</f>
        <v>0</v>
      </c>
      <c r="G295" s="51">
        <f t="shared" si="2"/>
        <v>0</v>
      </c>
      <c r="I295" s="34"/>
    </row>
    <row r="296" ht="22.5" customHeight="1">
      <c r="A296" s="35"/>
      <c r="B296" s="35"/>
      <c r="C296" s="35"/>
      <c r="D296" s="50"/>
      <c r="F296" s="51">
        <f>SUMIFS('MOVIMENTAÇÃO'!$E:$E,'MOVIMENTAÇÃO'!$C:$C,A296,'MOVIMENTAÇÃO'!$B:$B,"PERDA")</f>
        <v>0</v>
      </c>
      <c r="G296" s="51">
        <f t="shared" si="2"/>
        <v>0</v>
      </c>
      <c r="I296" s="34"/>
    </row>
    <row r="297" ht="22.5" customHeight="1">
      <c r="A297" s="35"/>
      <c r="B297" s="35"/>
      <c r="C297" s="35"/>
      <c r="D297" s="50"/>
      <c r="F297" s="51">
        <f>SUMIFS('MOVIMENTAÇÃO'!$E:$E,'MOVIMENTAÇÃO'!$C:$C,A297,'MOVIMENTAÇÃO'!$B:$B,"PERDA")</f>
        <v>0</v>
      </c>
      <c r="G297" s="51">
        <f t="shared" si="2"/>
        <v>0</v>
      </c>
      <c r="I297" s="34"/>
    </row>
    <row r="298" ht="22.5" customHeight="1">
      <c r="A298" s="35"/>
      <c r="B298" s="35"/>
      <c r="C298" s="35"/>
      <c r="D298" s="50"/>
      <c r="F298" s="51">
        <f>SUMIFS('MOVIMENTAÇÃO'!$E:$E,'MOVIMENTAÇÃO'!$C:$C,A298,'MOVIMENTAÇÃO'!$B:$B,"PERDA")</f>
        <v>0</v>
      </c>
      <c r="G298" s="51">
        <f t="shared" si="2"/>
        <v>0</v>
      </c>
      <c r="I298" s="34"/>
    </row>
    <row r="299" ht="22.5" customHeight="1">
      <c r="A299" s="35"/>
      <c r="B299" s="35"/>
      <c r="C299" s="35"/>
      <c r="D299" s="50"/>
      <c r="F299" s="51">
        <f>SUMIFS('MOVIMENTAÇÃO'!$E:$E,'MOVIMENTAÇÃO'!$C:$C,A299,'MOVIMENTAÇÃO'!$B:$B,"PERDA")</f>
        <v>0</v>
      </c>
      <c r="G299" s="51">
        <f t="shared" si="2"/>
        <v>0</v>
      </c>
      <c r="I299" s="34"/>
    </row>
    <row r="300" ht="22.5" customHeight="1">
      <c r="A300" s="35"/>
      <c r="B300" s="35"/>
      <c r="C300" s="35"/>
      <c r="D300" s="50"/>
      <c r="F300" s="51">
        <f>SUMIFS('MOVIMENTAÇÃO'!$E:$E,'MOVIMENTAÇÃO'!$C:$C,A300,'MOVIMENTAÇÃO'!$B:$B,"PERDA")</f>
        <v>0</v>
      </c>
      <c r="G300" s="51">
        <f t="shared" si="2"/>
        <v>0</v>
      </c>
      <c r="I300" s="34"/>
    </row>
    <row r="301" ht="22.5" customHeight="1">
      <c r="A301" s="35"/>
      <c r="B301" s="35"/>
      <c r="C301" s="35"/>
      <c r="D301" s="50"/>
      <c r="F301" s="51">
        <f>SUMIFS('MOVIMENTAÇÃO'!$E:$E,'MOVIMENTAÇÃO'!$C:$C,A301,'MOVIMENTAÇÃO'!$B:$B,"PERDA")</f>
        <v>0</v>
      </c>
      <c r="G301" s="51">
        <f t="shared" si="2"/>
        <v>0</v>
      </c>
      <c r="I301" s="34"/>
    </row>
    <row r="302" ht="22.5" customHeight="1">
      <c r="A302" s="35"/>
      <c r="B302" s="35"/>
      <c r="C302" s="35"/>
      <c r="D302" s="50"/>
      <c r="F302" s="51">
        <f>SUMIFS('MOVIMENTAÇÃO'!$E:$E,'MOVIMENTAÇÃO'!$C:$C,A302,'MOVIMENTAÇÃO'!$B:$B,"PERDA")</f>
        <v>0</v>
      </c>
      <c r="G302" s="51">
        <f t="shared" si="2"/>
        <v>0</v>
      </c>
      <c r="I302" s="34"/>
    </row>
    <row r="303" ht="22.5" customHeight="1">
      <c r="A303" s="35"/>
      <c r="B303" s="35"/>
      <c r="C303" s="35"/>
      <c r="D303" s="50"/>
      <c r="F303" s="51">
        <f>SUMIFS('MOVIMENTAÇÃO'!$E:$E,'MOVIMENTAÇÃO'!$C:$C,A303,'MOVIMENTAÇÃO'!$B:$B,"PERDA")</f>
        <v>0</v>
      </c>
      <c r="G303" s="51">
        <f t="shared" si="2"/>
        <v>0</v>
      </c>
      <c r="I303" s="34"/>
    </row>
    <row r="304" ht="22.5" customHeight="1">
      <c r="A304" s="35"/>
      <c r="B304" s="35"/>
      <c r="C304" s="35"/>
      <c r="D304" s="50"/>
      <c r="F304" s="51">
        <f>SUMIFS('MOVIMENTAÇÃO'!$E:$E,'MOVIMENTAÇÃO'!$C:$C,A304,'MOVIMENTAÇÃO'!$B:$B,"PERDA")</f>
        <v>0</v>
      </c>
      <c r="G304" s="51">
        <f t="shared" si="2"/>
        <v>0</v>
      </c>
      <c r="I304" s="34"/>
    </row>
    <row r="305" ht="22.5" customHeight="1">
      <c r="A305" s="35"/>
      <c r="B305" s="35"/>
      <c r="C305" s="35"/>
      <c r="D305" s="50"/>
      <c r="F305" s="51">
        <f>SUMIFS('MOVIMENTAÇÃO'!$E:$E,'MOVIMENTAÇÃO'!$C:$C,A305,'MOVIMENTAÇÃO'!$B:$B,"PERDA")</f>
        <v>0</v>
      </c>
      <c r="G305" s="51">
        <f t="shared" si="2"/>
        <v>0</v>
      </c>
      <c r="I305" s="34"/>
    </row>
    <row r="306" ht="22.5" customHeight="1">
      <c r="A306" s="35"/>
      <c r="B306" s="35"/>
      <c r="C306" s="35"/>
      <c r="D306" s="50"/>
      <c r="F306" s="51">
        <f>SUMIFS('MOVIMENTAÇÃO'!$E:$E,'MOVIMENTAÇÃO'!$C:$C,A306,'MOVIMENTAÇÃO'!$B:$B,"PERDA")</f>
        <v>0</v>
      </c>
      <c r="G306" s="51">
        <f t="shared" si="2"/>
        <v>0</v>
      </c>
      <c r="I306" s="34"/>
    </row>
    <row r="307" ht="22.5" customHeight="1">
      <c r="A307" s="35"/>
      <c r="B307" s="35"/>
      <c r="C307" s="35"/>
      <c r="D307" s="50"/>
      <c r="F307" s="51">
        <f>SUMIFS('MOVIMENTAÇÃO'!$E:$E,'MOVIMENTAÇÃO'!$C:$C,A307,'MOVIMENTAÇÃO'!$B:$B,"PERDA")</f>
        <v>0</v>
      </c>
      <c r="G307" s="51">
        <f t="shared" si="2"/>
        <v>0</v>
      </c>
      <c r="I307" s="34"/>
    </row>
    <row r="308" ht="22.5" customHeight="1">
      <c r="A308" s="35"/>
      <c r="B308" s="35"/>
      <c r="C308" s="35"/>
      <c r="D308" s="50"/>
      <c r="F308" s="51">
        <f>SUMIFS('MOVIMENTAÇÃO'!$E:$E,'MOVIMENTAÇÃO'!$C:$C,A308,'MOVIMENTAÇÃO'!$B:$B,"PERDA")</f>
        <v>0</v>
      </c>
      <c r="G308" s="51">
        <f t="shared" si="2"/>
        <v>0</v>
      </c>
      <c r="I308" s="34"/>
    </row>
    <row r="309" ht="22.5" customHeight="1">
      <c r="A309" s="35"/>
      <c r="B309" s="35"/>
      <c r="C309" s="35"/>
      <c r="D309" s="50"/>
      <c r="F309" s="51">
        <f>SUMIFS('MOVIMENTAÇÃO'!$E:$E,'MOVIMENTAÇÃO'!$C:$C,A309,'MOVIMENTAÇÃO'!$B:$B,"PERDA")</f>
        <v>0</v>
      </c>
      <c r="G309" s="51">
        <f t="shared" si="2"/>
        <v>0</v>
      </c>
      <c r="I309" s="34"/>
    </row>
    <row r="310" ht="22.5" customHeight="1">
      <c r="A310" s="35"/>
      <c r="B310" s="35"/>
      <c r="C310" s="35"/>
      <c r="D310" s="50"/>
      <c r="F310" s="51">
        <f>SUMIFS('MOVIMENTAÇÃO'!$E:$E,'MOVIMENTAÇÃO'!$C:$C,A310,'MOVIMENTAÇÃO'!$B:$B,"PERDA")</f>
        <v>0</v>
      </c>
      <c r="G310" s="51">
        <f t="shared" si="2"/>
        <v>0</v>
      </c>
      <c r="I310" s="34"/>
    </row>
    <row r="311" ht="22.5" customHeight="1">
      <c r="A311" s="35"/>
      <c r="B311" s="35"/>
      <c r="C311" s="35"/>
      <c r="D311" s="50"/>
      <c r="F311" s="51">
        <f>SUMIFS('MOVIMENTAÇÃO'!$E:$E,'MOVIMENTAÇÃO'!$C:$C,A311,'MOVIMENTAÇÃO'!$B:$B,"PERDA")</f>
        <v>0</v>
      </c>
      <c r="G311" s="51">
        <f t="shared" si="2"/>
        <v>0</v>
      </c>
      <c r="I311" s="34"/>
    </row>
    <row r="312" ht="22.5" customHeight="1">
      <c r="A312" s="35"/>
      <c r="B312" s="35"/>
      <c r="C312" s="35"/>
      <c r="D312" s="50"/>
      <c r="F312" s="51">
        <f>SUMIFS('MOVIMENTAÇÃO'!$E:$E,'MOVIMENTAÇÃO'!$C:$C,A312,'MOVIMENTAÇÃO'!$B:$B,"PERDA")</f>
        <v>0</v>
      </c>
      <c r="G312" s="51">
        <f t="shared" si="2"/>
        <v>0</v>
      </c>
      <c r="I312" s="34"/>
    </row>
    <row r="313" ht="22.5" customHeight="1">
      <c r="A313" s="35"/>
      <c r="B313" s="35"/>
      <c r="C313" s="35"/>
      <c r="D313" s="50"/>
      <c r="F313" s="51">
        <f>SUMIFS('MOVIMENTAÇÃO'!$E:$E,'MOVIMENTAÇÃO'!$C:$C,A313,'MOVIMENTAÇÃO'!$B:$B,"PERDA")</f>
        <v>0</v>
      </c>
      <c r="G313" s="51">
        <f t="shared" si="2"/>
        <v>0</v>
      </c>
      <c r="I313" s="34"/>
    </row>
    <row r="314" ht="22.5" customHeight="1">
      <c r="A314" s="35"/>
      <c r="B314" s="35"/>
      <c r="C314" s="35"/>
      <c r="D314" s="50"/>
      <c r="F314" s="51">
        <f>SUMIFS('MOVIMENTAÇÃO'!$E:$E,'MOVIMENTAÇÃO'!$C:$C,A314,'MOVIMENTAÇÃO'!$B:$B,"PERDA")</f>
        <v>0</v>
      </c>
      <c r="G314" s="51">
        <f t="shared" si="2"/>
        <v>0</v>
      </c>
      <c r="I314" s="34"/>
    </row>
    <row r="315" ht="22.5" customHeight="1">
      <c r="A315" s="35"/>
      <c r="B315" s="35"/>
      <c r="C315" s="35"/>
      <c r="D315" s="50"/>
      <c r="F315" s="51">
        <f>SUMIFS('MOVIMENTAÇÃO'!$E:$E,'MOVIMENTAÇÃO'!$C:$C,A315,'MOVIMENTAÇÃO'!$B:$B,"PERDA")</f>
        <v>0</v>
      </c>
      <c r="G315" s="51">
        <f t="shared" si="2"/>
        <v>0</v>
      </c>
      <c r="I315" s="34"/>
    </row>
    <row r="316" ht="22.5" customHeight="1">
      <c r="A316" s="35"/>
      <c r="B316" s="35"/>
      <c r="C316" s="35"/>
      <c r="D316" s="50"/>
      <c r="F316" s="51">
        <f>SUMIFS('MOVIMENTAÇÃO'!$E:$E,'MOVIMENTAÇÃO'!$C:$C,A316,'MOVIMENTAÇÃO'!$B:$B,"PERDA")</f>
        <v>0</v>
      </c>
      <c r="G316" s="51">
        <f t="shared" si="2"/>
        <v>0</v>
      </c>
      <c r="I316" s="34"/>
    </row>
    <row r="317" ht="22.5" customHeight="1">
      <c r="A317" s="35"/>
      <c r="B317" s="35"/>
      <c r="C317" s="35"/>
      <c r="D317" s="50"/>
      <c r="F317" s="51">
        <f>SUMIFS('MOVIMENTAÇÃO'!$E:$E,'MOVIMENTAÇÃO'!$C:$C,A317,'MOVIMENTAÇÃO'!$B:$B,"PERDA")</f>
        <v>0</v>
      </c>
      <c r="G317" s="51">
        <f t="shared" si="2"/>
        <v>0</v>
      </c>
      <c r="I317" s="34"/>
    </row>
    <row r="318" ht="22.5" customHeight="1">
      <c r="A318" s="35"/>
      <c r="B318" s="35"/>
      <c r="C318" s="35"/>
      <c r="D318" s="50"/>
      <c r="F318" s="51">
        <f>SUMIFS('MOVIMENTAÇÃO'!$E:$E,'MOVIMENTAÇÃO'!$C:$C,A318,'MOVIMENTAÇÃO'!$B:$B,"PERDA")</f>
        <v>0</v>
      </c>
      <c r="G318" s="51">
        <f t="shared" si="2"/>
        <v>0</v>
      </c>
      <c r="I318" s="34"/>
    </row>
    <row r="319" ht="22.5" customHeight="1">
      <c r="A319" s="35"/>
      <c r="B319" s="35"/>
      <c r="C319" s="35"/>
      <c r="D319" s="50"/>
      <c r="F319" s="51">
        <f>SUMIFS('MOVIMENTAÇÃO'!$E:$E,'MOVIMENTAÇÃO'!$C:$C,A319,'MOVIMENTAÇÃO'!$B:$B,"PERDA")</f>
        <v>0</v>
      </c>
      <c r="G319" s="51">
        <f t="shared" si="2"/>
        <v>0</v>
      </c>
      <c r="I319" s="34"/>
    </row>
    <row r="320" ht="22.5" customHeight="1">
      <c r="A320" s="35"/>
      <c r="B320" s="35"/>
      <c r="C320" s="35"/>
      <c r="D320" s="50"/>
      <c r="F320" s="51">
        <f>SUMIFS('MOVIMENTAÇÃO'!$E:$E,'MOVIMENTAÇÃO'!$C:$C,A320,'MOVIMENTAÇÃO'!$B:$B,"PERDA")</f>
        <v>0</v>
      </c>
      <c r="G320" s="51">
        <f t="shared" si="2"/>
        <v>0</v>
      </c>
      <c r="I320" s="34"/>
    </row>
    <row r="321" ht="22.5" customHeight="1">
      <c r="A321" s="35"/>
      <c r="B321" s="35"/>
      <c r="C321" s="35"/>
      <c r="D321" s="50"/>
      <c r="F321" s="51">
        <f>SUMIFS('MOVIMENTAÇÃO'!$E:$E,'MOVIMENTAÇÃO'!$C:$C,A321,'MOVIMENTAÇÃO'!$B:$B,"PERDA")</f>
        <v>0</v>
      </c>
      <c r="G321" s="51">
        <f t="shared" si="2"/>
        <v>0</v>
      </c>
      <c r="I321" s="34"/>
    </row>
    <row r="322" ht="22.5" customHeight="1">
      <c r="A322" s="35"/>
      <c r="B322" s="35"/>
      <c r="C322" s="35"/>
      <c r="D322" s="50"/>
      <c r="F322" s="51">
        <f>SUMIFS('MOVIMENTAÇÃO'!$E:$E,'MOVIMENTAÇÃO'!$C:$C,A322,'MOVIMENTAÇÃO'!$B:$B,"PERDA")</f>
        <v>0</v>
      </c>
      <c r="G322" s="51">
        <f t="shared" si="2"/>
        <v>0</v>
      </c>
      <c r="I322" s="34"/>
    </row>
    <row r="323" ht="22.5" customHeight="1">
      <c r="A323" s="35"/>
      <c r="B323" s="35"/>
      <c r="C323" s="35"/>
      <c r="D323" s="50"/>
      <c r="F323" s="51">
        <f>SUMIFS('MOVIMENTAÇÃO'!$E:$E,'MOVIMENTAÇÃO'!$C:$C,A323,'MOVIMENTAÇÃO'!$B:$B,"PERDA")</f>
        <v>0</v>
      </c>
      <c r="G323" s="51">
        <f t="shared" si="2"/>
        <v>0</v>
      </c>
      <c r="I323" s="34"/>
    </row>
    <row r="324" ht="22.5" customHeight="1">
      <c r="A324" s="35"/>
      <c r="B324" s="35"/>
      <c r="C324" s="35"/>
      <c r="D324" s="50"/>
      <c r="F324" s="51">
        <f>SUMIFS('MOVIMENTAÇÃO'!$E:$E,'MOVIMENTAÇÃO'!$C:$C,A324,'MOVIMENTAÇÃO'!$B:$B,"PERDA")</f>
        <v>0</v>
      </c>
      <c r="G324" s="51">
        <f t="shared" si="2"/>
        <v>0</v>
      </c>
      <c r="I324" s="34"/>
    </row>
    <row r="325" ht="22.5" customHeight="1">
      <c r="A325" s="35"/>
      <c r="B325" s="35"/>
      <c r="C325" s="35"/>
      <c r="D325" s="50"/>
      <c r="F325" s="51">
        <f>SUMIFS('MOVIMENTAÇÃO'!$E:$E,'MOVIMENTAÇÃO'!$C:$C,A325,'MOVIMENTAÇÃO'!$B:$B,"PERDA")</f>
        <v>0</v>
      </c>
      <c r="G325" s="51">
        <f t="shared" si="2"/>
        <v>0</v>
      </c>
      <c r="I325" s="34"/>
    </row>
    <row r="326" ht="22.5" customHeight="1">
      <c r="A326" s="35"/>
      <c r="B326" s="35"/>
      <c r="C326" s="35"/>
      <c r="D326" s="50"/>
      <c r="F326" s="51">
        <f>SUMIFS('MOVIMENTAÇÃO'!$E:$E,'MOVIMENTAÇÃO'!$C:$C,A326,'MOVIMENTAÇÃO'!$B:$B,"PERDA")</f>
        <v>0</v>
      </c>
      <c r="G326" s="51">
        <f t="shared" si="2"/>
        <v>0</v>
      </c>
      <c r="I326" s="34"/>
    </row>
    <row r="327" ht="22.5" customHeight="1">
      <c r="A327" s="35"/>
      <c r="B327" s="35"/>
      <c r="C327" s="35"/>
      <c r="D327" s="50"/>
      <c r="F327" s="51">
        <f>SUMIFS('MOVIMENTAÇÃO'!$E:$E,'MOVIMENTAÇÃO'!$C:$C,A327,'MOVIMENTAÇÃO'!$B:$B,"PERDA")</f>
        <v>0</v>
      </c>
      <c r="G327" s="51">
        <f t="shared" si="2"/>
        <v>0</v>
      </c>
      <c r="I327" s="34"/>
    </row>
    <row r="328" ht="22.5" customHeight="1">
      <c r="A328" s="35"/>
      <c r="B328" s="35"/>
      <c r="C328" s="35"/>
      <c r="D328" s="50"/>
      <c r="F328" s="51">
        <f>SUMIFS('MOVIMENTAÇÃO'!$E:$E,'MOVIMENTAÇÃO'!$C:$C,A328,'MOVIMENTAÇÃO'!$B:$B,"PERDA")</f>
        <v>0</v>
      </c>
      <c r="G328" s="51">
        <f t="shared" si="2"/>
        <v>0</v>
      </c>
      <c r="I328" s="34"/>
    </row>
    <row r="329" ht="22.5" customHeight="1">
      <c r="A329" s="35"/>
      <c r="B329" s="35"/>
      <c r="C329" s="35"/>
      <c r="D329" s="50"/>
      <c r="F329" s="51">
        <f>SUMIFS('MOVIMENTAÇÃO'!$E:$E,'MOVIMENTAÇÃO'!$C:$C,A329,'MOVIMENTAÇÃO'!$B:$B,"PERDA")</f>
        <v>0</v>
      </c>
      <c r="G329" s="51">
        <f t="shared" si="2"/>
        <v>0</v>
      </c>
      <c r="I329" s="34"/>
    </row>
    <row r="330" ht="22.5" customHeight="1">
      <c r="A330" s="35"/>
      <c r="B330" s="35"/>
      <c r="C330" s="35"/>
      <c r="D330" s="50"/>
      <c r="F330" s="51">
        <f>SUMIFS('MOVIMENTAÇÃO'!$E:$E,'MOVIMENTAÇÃO'!$C:$C,A330,'MOVIMENTAÇÃO'!$B:$B,"PERDA")</f>
        <v>0</v>
      </c>
      <c r="G330" s="51">
        <f t="shared" si="2"/>
        <v>0</v>
      </c>
      <c r="I330" s="34"/>
    </row>
    <row r="331" ht="22.5" customHeight="1">
      <c r="A331" s="35"/>
      <c r="B331" s="35"/>
      <c r="C331" s="35"/>
      <c r="D331" s="50"/>
      <c r="F331" s="51">
        <f>SUMIFS('MOVIMENTAÇÃO'!$E:$E,'MOVIMENTAÇÃO'!$C:$C,A331,'MOVIMENTAÇÃO'!$B:$B,"PERDA")</f>
        <v>0</v>
      </c>
      <c r="G331" s="51">
        <f t="shared" si="2"/>
        <v>0</v>
      </c>
      <c r="I331" s="34"/>
    </row>
    <row r="332" ht="22.5" customHeight="1">
      <c r="A332" s="35"/>
      <c r="B332" s="35"/>
      <c r="C332" s="35"/>
      <c r="D332" s="50"/>
      <c r="F332" s="51">
        <f>SUMIFS('MOVIMENTAÇÃO'!$E:$E,'MOVIMENTAÇÃO'!$C:$C,A332,'MOVIMENTAÇÃO'!$B:$B,"PERDA")</f>
        <v>0</v>
      </c>
      <c r="G332" s="51">
        <f t="shared" si="2"/>
        <v>0</v>
      </c>
      <c r="I332" s="34"/>
    </row>
    <row r="333" ht="22.5" customHeight="1">
      <c r="A333" s="35"/>
      <c r="B333" s="35"/>
      <c r="C333" s="35"/>
      <c r="D333" s="50"/>
      <c r="F333" s="51">
        <f>SUMIFS('MOVIMENTAÇÃO'!$E:$E,'MOVIMENTAÇÃO'!$C:$C,A333,'MOVIMENTAÇÃO'!$B:$B,"PERDA")</f>
        <v>0</v>
      </c>
      <c r="G333" s="51">
        <f t="shared" si="2"/>
        <v>0</v>
      </c>
      <c r="I333" s="34"/>
    </row>
    <row r="334" ht="22.5" customHeight="1">
      <c r="A334" s="35"/>
      <c r="B334" s="35"/>
      <c r="C334" s="35"/>
      <c r="D334" s="50"/>
      <c r="F334" s="51">
        <f>SUMIFS('MOVIMENTAÇÃO'!$E:$E,'MOVIMENTAÇÃO'!$C:$C,A334,'MOVIMENTAÇÃO'!$B:$B,"PERDA")</f>
        <v>0</v>
      </c>
      <c r="G334" s="51">
        <f t="shared" si="2"/>
        <v>0</v>
      </c>
      <c r="I334" s="34"/>
    </row>
    <row r="335" ht="22.5" customHeight="1">
      <c r="A335" s="35"/>
      <c r="B335" s="35"/>
      <c r="C335" s="35"/>
      <c r="D335" s="50"/>
      <c r="F335" s="51">
        <f>SUMIFS('MOVIMENTAÇÃO'!$E:$E,'MOVIMENTAÇÃO'!$C:$C,A335,'MOVIMENTAÇÃO'!$B:$B,"PERDA")</f>
        <v>0</v>
      </c>
      <c r="G335" s="51">
        <f t="shared" si="2"/>
        <v>0</v>
      </c>
      <c r="I335" s="34"/>
    </row>
    <row r="336" ht="22.5" customHeight="1">
      <c r="A336" s="35"/>
      <c r="B336" s="35"/>
      <c r="C336" s="35"/>
      <c r="D336" s="50"/>
      <c r="F336" s="51">
        <f>SUMIFS('MOVIMENTAÇÃO'!$E:$E,'MOVIMENTAÇÃO'!$C:$C,A336,'MOVIMENTAÇÃO'!$B:$B,"PERDA")</f>
        <v>0</v>
      </c>
      <c r="G336" s="51">
        <f t="shared" si="2"/>
        <v>0</v>
      </c>
      <c r="I336" s="34"/>
    </row>
    <row r="337" ht="22.5" customHeight="1">
      <c r="A337" s="35"/>
      <c r="B337" s="35"/>
      <c r="C337" s="35"/>
      <c r="D337" s="50"/>
      <c r="F337" s="51">
        <f>SUMIFS('MOVIMENTAÇÃO'!$E:$E,'MOVIMENTAÇÃO'!$C:$C,A337,'MOVIMENTAÇÃO'!$B:$B,"PERDA")</f>
        <v>0</v>
      </c>
      <c r="G337" s="51">
        <f t="shared" si="2"/>
        <v>0</v>
      </c>
      <c r="I337" s="34"/>
    </row>
    <row r="338" ht="22.5" customHeight="1">
      <c r="A338" s="35"/>
      <c r="B338" s="35"/>
      <c r="C338" s="35"/>
      <c r="D338" s="50"/>
      <c r="F338" s="51">
        <f>SUMIFS('MOVIMENTAÇÃO'!$E:$E,'MOVIMENTAÇÃO'!$C:$C,A338,'MOVIMENTAÇÃO'!$B:$B,"PERDA")</f>
        <v>0</v>
      </c>
      <c r="G338" s="51">
        <f t="shared" si="2"/>
        <v>0</v>
      </c>
      <c r="I338" s="34"/>
    </row>
    <row r="339" ht="22.5" customHeight="1">
      <c r="A339" s="35"/>
      <c r="B339" s="35"/>
      <c r="C339" s="35"/>
      <c r="D339" s="50"/>
      <c r="F339" s="51">
        <f>SUMIFS('MOVIMENTAÇÃO'!$E:$E,'MOVIMENTAÇÃO'!$C:$C,A339,'MOVIMENTAÇÃO'!$B:$B,"PERDA")</f>
        <v>0</v>
      </c>
      <c r="G339" s="51">
        <f t="shared" si="2"/>
        <v>0</v>
      </c>
      <c r="I339" s="34"/>
    </row>
    <row r="340" ht="22.5" customHeight="1">
      <c r="A340" s="35"/>
      <c r="B340" s="35"/>
      <c r="C340" s="35"/>
      <c r="D340" s="50"/>
      <c r="F340" s="51">
        <f>SUMIFS('MOVIMENTAÇÃO'!$E:$E,'MOVIMENTAÇÃO'!$C:$C,A340,'MOVIMENTAÇÃO'!$B:$B,"PERDA")</f>
        <v>0</v>
      </c>
      <c r="G340" s="51">
        <f t="shared" si="2"/>
        <v>0</v>
      </c>
      <c r="I340" s="34"/>
    </row>
    <row r="341" ht="22.5" customHeight="1">
      <c r="A341" s="35"/>
      <c r="B341" s="35"/>
      <c r="C341" s="35"/>
      <c r="D341" s="50"/>
      <c r="F341" s="51">
        <f>SUMIFS('MOVIMENTAÇÃO'!$E:$E,'MOVIMENTAÇÃO'!$C:$C,A341,'MOVIMENTAÇÃO'!$B:$B,"PERDA")</f>
        <v>0</v>
      </c>
      <c r="G341" s="51">
        <f t="shared" si="2"/>
        <v>0</v>
      </c>
      <c r="I341" s="34"/>
    </row>
    <row r="342" ht="22.5" customHeight="1">
      <c r="A342" s="35"/>
      <c r="B342" s="35"/>
      <c r="C342" s="35"/>
      <c r="D342" s="50"/>
      <c r="F342" s="51">
        <f>SUMIFS('MOVIMENTAÇÃO'!$E:$E,'MOVIMENTAÇÃO'!$C:$C,A342,'MOVIMENTAÇÃO'!$B:$B,"PERDA")</f>
        <v>0</v>
      </c>
      <c r="G342" s="51">
        <f t="shared" si="2"/>
        <v>0</v>
      </c>
      <c r="I342" s="34"/>
    </row>
    <row r="343" ht="22.5" customHeight="1">
      <c r="A343" s="35"/>
      <c r="B343" s="35"/>
      <c r="C343" s="35"/>
      <c r="D343" s="50"/>
      <c r="F343" s="51">
        <f>SUMIFS('MOVIMENTAÇÃO'!$E:$E,'MOVIMENTAÇÃO'!$C:$C,A343,'MOVIMENTAÇÃO'!$B:$B,"PERDA")</f>
        <v>0</v>
      </c>
      <c r="G343" s="51">
        <f t="shared" si="2"/>
        <v>0</v>
      </c>
      <c r="I343" s="34"/>
    </row>
    <row r="344" ht="22.5" customHeight="1">
      <c r="A344" s="35"/>
      <c r="B344" s="35"/>
      <c r="C344" s="35"/>
      <c r="D344" s="50"/>
      <c r="F344" s="51">
        <f>SUMIFS('MOVIMENTAÇÃO'!$E:$E,'MOVIMENTAÇÃO'!$C:$C,A344,'MOVIMENTAÇÃO'!$B:$B,"PERDA")</f>
        <v>0</v>
      </c>
      <c r="G344" s="51">
        <f t="shared" si="2"/>
        <v>0</v>
      </c>
      <c r="I344" s="34"/>
    </row>
    <row r="345" ht="22.5" customHeight="1">
      <c r="A345" s="35"/>
      <c r="B345" s="35"/>
      <c r="C345" s="35"/>
      <c r="D345" s="50"/>
      <c r="F345" s="51">
        <f>SUMIFS('MOVIMENTAÇÃO'!$E:$E,'MOVIMENTAÇÃO'!$C:$C,A345,'MOVIMENTAÇÃO'!$B:$B,"PERDA")</f>
        <v>0</v>
      </c>
      <c r="G345" s="51">
        <f t="shared" si="2"/>
        <v>0</v>
      </c>
      <c r="I345" s="34"/>
    </row>
    <row r="346" ht="22.5" customHeight="1">
      <c r="A346" s="35"/>
      <c r="B346" s="35"/>
      <c r="C346" s="35"/>
      <c r="D346" s="50"/>
      <c r="F346" s="51">
        <f>SUMIFS('MOVIMENTAÇÃO'!$E:$E,'MOVIMENTAÇÃO'!$C:$C,A346,'MOVIMENTAÇÃO'!$B:$B,"PERDA")</f>
        <v>0</v>
      </c>
      <c r="G346" s="51">
        <f t="shared" si="2"/>
        <v>0</v>
      </c>
      <c r="I346" s="34"/>
    </row>
    <row r="347" ht="22.5" customHeight="1">
      <c r="A347" s="35"/>
      <c r="B347" s="35"/>
      <c r="C347" s="35"/>
      <c r="D347" s="50"/>
      <c r="F347" s="51">
        <f>SUMIFS('MOVIMENTAÇÃO'!$E:$E,'MOVIMENTAÇÃO'!$C:$C,A347,'MOVIMENTAÇÃO'!$B:$B,"PERDA")</f>
        <v>0</v>
      </c>
      <c r="G347" s="51">
        <f t="shared" si="2"/>
        <v>0</v>
      </c>
      <c r="I347" s="34"/>
    </row>
    <row r="348" ht="22.5" customHeight="1">
      <c r="A348" s="35"/>
      <c r="B348" s="35"/>
      <c r="C348" s="35"/>
      <c r="D348" s="50"/>
      <c r="F348" s="51">
        <f>SUMIFS('MOVIMENTAÇÃO'!$E:$E,'MOVIMENTAÇÃO'!$C:$C,A348,'MOVIMENTAÇÃO'!$B:$B,"PERDA")</f>
        <v>0</v>
      </c>
      <c r="G348" s="51">
        <f t="shared" si="2"/>
        <v>0</v>
      </c>
      <c r="I348" s="34"/>
    </row>
    <row r="349" ht="22.5" customHeight="1">
      <c r="A349" s="35"/>
      <c r="B349" s="35"/>
      <c r="C349" s="35"/>
      <c r="D349" s="50"/>
      <c r="F349" s="51">
        <f>SUMIFS('MOVIMENTAÇÃO'!$E:$E,'MOVIMENTAÇÃO'!$C:$C,A349,'MOVIMENTAÇÃO'!$B:$B,"PERDA")</f>
        <v>0</v>
      </c>
      <c r="G349" s="51">
        <f t="shared" si="2"/>
        <v>0</v>
      </c>
      <c r="I349" s="34"/>
    </row>
    <row r="350" ht="22.5" customHeight="1">
      <c r="A350" s="35"/>
      <c r="B350" s="35"/>
      <c r="C350" s="35"/>
      <c r="D350" s="50"/>
      <c r="F350" s="51">
        <f>SUMIFS('MOVIMENTAÇÃO'!$E:$E,'MOVIMENTAÇÃO'!$C:$C,A350,'MOVIMENTAÇÃO'!$B:$B,"PERDA")</f>
        <v>0</v>
      </c>
      <c r="G350" s="51">
        <f t="shared" si="2"/>
        <v>0</v>
      </c>
      <c r="I350" s="34"/>
    </row>
    <row r="351" ht="22.5" customHeight="1">
      <c r="A351" s="35"/>
      <c r="B351" s="35"/>
      <c r="C351" s="35"/>
      <c r="D351" s="50"/>
      <c r="F351" s="51">
        <f>SUMIFS('MOVIMENTAÇÃO'!$E:$E,'MOVIMENTAÇÃO'!$C:$C,A351,'MOVIMENTAÇÃO'!$B:$B,"PERDA")</f>
        <v>0</v>
      </c>
      <c r="G351" s="51">
        <f t="shared" si="2"/>
        <v>0</v>
      </c>
      <c r="I351" s="34"/>
    </row>
    <row r="352" ht="22.5" customHeight="1">
      <c r="A352" s="35"/>
      <c r="B352" s="35"/>
      <c r="C352" s="35"/>
      <c r="D352" s="50"/>
      <c r="F352" s="51">
        <f>SUMIFS('MOVIMENTAÇÃO'!$E:$E,'MOVIMENTAÇÃO'!$C:$C,A352,'MOVIMENTAÇÃO'!$B:$B,"PERDA")</f>
        <v>0</v>
      </c>
      <c r="G352" s="51">
        <f t="shared" si="2"/>
        <v>0</v>
      </c>
      <c r="I352" s="34"/>
    </row>
    <row r="353" ht="22.5" customHeight="1">
      <c r="A353" s="35"/>
      <c r="B353" s="35"/>
      <c r="C353" s="35"/>
      <c r="D353" s="50"/>
      <c r="F353" s="51">
        <f>SUMIFS('MOVIMENTAÇÃO'!$E:$E,'MOVIMENTAÇÃO'!$C:$C,A353,'MOVIMENTAÇÃO'!$B:$B,"PERDA")</f>
        <v>0</v>
      </c>
      <c r="G353" s="51">
        <f t="shared" si="2"/>
        <v>0</v>
      </c>
      <c r="I353" s="34"/>
    </row>
    <row r="354" ht="22.5" customHeight="1">
      <c r="A354" s="35"/>
      <c r="B354" s="35"/>
      <c r="C354" s="35"/>
      <c r="D354" s="50"/>
      <c r="F354" s="51">
        <f>SUMIFS('MOVIMENTAÇÃO'!$E:$E,'MOVIMENTAÇÃO'!$C:$C,A354,'MOVIMENTAÇÃO'!$B:$B,"PERDA")</f>
        <v>0</v>
      </c>
      <c r="G354" s="51">
        <f t="shared" si="2"/>
        <v>0</v>
      </c>
      <c r="I354" s="34"/>
    </row>
    <row r="355" ht="22.5" customHeight="1">
      <c r="A355" s="35"/>
      <c r="B355" s="35"/>
      <c r="C355" s="35"/>
      <c r="D355" s="50"/>
      <c r="F355" s="51">
        <f>SUMIFS('MOVIMENTAÇÃO'!$E:$E,'MOVIMENTAÇÃO'!$C:$C,A355,'MOVIMENTAÇÃO'!$B:$B,"PERDA")</f>
        <v>0</v>
      </c>
      <c r="G355" s="51">
        <f t="shared" si="2"/>
        <v>0</v>
      </c>
      <c r="I355" s="34"/>
    </row>
    <row r="356" ht="22.5" customHeight="1">
      <c r="A356" s="35"/>
      <c r="B356" s="35"/>
      <c r="C356" s="35"/>
      <c r="D356" s="50"/>
      <c r="F356" s="51">
        <f>SUMIFS('MOVIMENTAÇÃO'!$E:$E,'MOVIMENTAÇÃO'!$C:$C,A356,'MOVIMENTAÇÃO'!$B:$B,"PERDA")</f>
        <v>0</v>
      </c>
      <c r="G356" s="51">
        <f t="shared" si="2"/>
        <v>0</v>
      </c>
      <c r="I356" s="34"/>
    </row>
    <row r="357" ht="22.5" customHeight="1">
      <c r="A357" s="35"/>
      <c r="B357" s="35"/>
      <c r="C357" s="35"/>
      <c r="D357" s="50"/>
      <c r="F357" s="51">
        <f>SUMIFS('MOVIMENTAÇÃO'!$E:$E,'MOVIMENTAÇÃO'!$C:$C,A357,'MOVIMENTAÇÃO'!$B:$B,"PERDA")</f>
        <v>0</v>
      </c>
      <c r="G357" s="51">
        <f t="shared" si="2"/>
        <v>0</v>
      </c>
      <c r="I357" s="34"/>
    </row>
    <row r="358" ht="22.5" customHeight="1">
      <c r="A358" s="35"/>
      <c r="B358" s="35"/>
      <c r="C358" s="35"/>
      <c r="D358" s="50"/>
      <c r="F358" s="51">
        <f>SUMIFS('MOVIMENTAÇÃO'!$E:$E,'MOVIMENTAÇÃO'!$C:$C,A358,'MOVIMENTAÇÃO'!$B:$B,"PERDA")</f>
        <v>0</v>
      </c>
      <c r="G358" s="51">
        <f t="shared" si="2"/>
        <v>0</v>
      </c>
      <c r="I358" s="34"/>
    </row>
    <row r="359" ht="22.5" customHeight="1">
      <c r="A359" s="35"/>
      <c r="B359" s="35"/>
      <c r="C359" s="35"/>
      <c r="D359" s="50"/>
      <c r="F359" s="51">
        <f>SUMIFS('MOVIMENTAÇÃO'!$E:$E,'MOVIMENTAÇÃO'!$C:$C,A359,'MOVIMENTAÇÃO'!$B:$B,"PERDA")</f>
        <v>0</v>
      </c>
      <c r="G359" s="51">
        <f t="shared" si="2"/>
        <v>0</v>
      </c>
      <c r="I359" s="34"/>
    </row>
    <row r="360" ht="22.5" customHeight="1">
      <c r="A360" s="35"/>
      <c r="B360" s="35"/>
      <c r="C360" s="35"/>
      <c r="D360" s="50"/>
      <c r="F360" s="51">
        <f>SUMIFS('MOVIMENTAÇÃO'!$E:$E,'MOVIMENTAÇÃO'!$C:$C,A360,'MOVIMENTAÇÃO'!$B:$B,"PERDA")</f>
        <v>0</v>
      </c>
      <c r="G360" s="51">
        <f t="shared" si="2"/>
        <v>0</v>
      </c>
      <c r="I360" s="34"/>
    </row>
    <row r="361" ht="22.5" customHeight="1">
      <c r="A361" s="35"/>
      <c r="B361" s="35"/>
      <c r="C361" s="35"/>
      <c r="D361" s="50"/>
      <c r="F361" s="51">
        <f>SUMIFS('MOVIMENTAÇÃO'!$E:$E,'MOVIMENTAÇÃO'!$C:$C,A361,'MOVIMENTAÇÃO'!$B:$B,"PERDA")</f>
        <v>0</v>
      </c>
      <c r="G361" s="51">
        <f t="shared" si="2"/>
        <v>0</v>
      </c>
      <c r="I361" s="34"/>
    </row>
    <row r="362" ht="22.5" customHeight="1">
      <c r="A362" s="35"/>
      <c r="B362" s="35"/>
      <c r="C362" s="35"/>
      <c r="D362" s="50"/>
      <c r="F362" s="51">
        <f>SUMIFS('MOVIMENTAÇÃO'!$E:$E,'MOVIMENTAÇÃO'!$C:$C,A362,'MOVIMENTAÇÃO'!$B:$B,"PERDA")</f>
        <v>0</v>
      </c>
      <c r="G362" s="51">
        <f t="shared" si="2"/>
        <v>0</v>
      </c>
      <c r="I362" s="34"/>
    </row>
    <row r="363" ht="22.5" customHeight="1">
      <c r="A363" s="35"/>
      <c r="B363" s="35"/>
      <c r="C363" s="35"/>
      <c r="D363" s="50"/>
      <c r="F363" s="51">
        <f>SUMIFS('MOVIMENTAÇÃO'!$E:$E,'MOVIMENTAÇÃO'!$C:$C,A363,'MOVIMENTAÇÃO'!$B:$B,"PERDA")</f>
        <v>0</v>
      </c>
      <c r="G363" s="51">
        <f t="shared" si="2"/>
        <v>0</v>
      </c>
      <c r="I363" s="34"/>
    </row>
    <row r="364" ht="22.5" customHeight="1">
      <c r="A364" s="35"/>
      <c r="B364" s="35"/>
      <c r="C364" s="35"/>
      <c r="D364" s="50"/>
      <c r="F364" s="51">
        <f>SUMIFS('MOVIMENTAÇÃO'!$E:$E,'MOVIMENTAÇÃO'!$C:$C,A364,'MOVIMENTAÇÃO'!$B:$B,"PERDA")</f>
        <v>0</v>
      </c>
      <c r="G364" s="51">
        <f t="shared" si="2"/>
        <v>0</v>
      </c>
      <c r="I364" s="34"/>
    </row>
    <row r="365" ht="22.5" customHeight="1">
      <c r="A365" s="35"/>
      <c r="B365" s="35"/>
      <c r="C365" s="35"/>
      <c r="D365" s="50"/>
      <c r="F365" s="51">
        <f>SUMIFS('MOVIMENTAÇÃO'!$E:$E,'MOVIMENTAÇÃO'!$C:$C,A365,'MOVIMENTAÇÃO'!$B:$B,"PERDA")</f>
        <v>0</v>
      </c>
      <c r="G365" s="51">
        <f t="shared" si="2"/>
        <v>0</v>
      </c>
      <c r="I365" s="34"/>
    </row>
    <row r="366" ht="22.5" customHeight="1">
      <c r="A366" s="35"/>
      <c r="B366" s="35"/>
      <c r="C366" s="35"/>
      <c r="D366" s="50"/>
      <c r="F366" s="51">
        <f>SUMIFS('MOVIMENTAÇÃO'!$E:$E,'MOVIMENTAÇÃO'!$C:$C,A366,'MOVIMENTAÇÃO'!$B:$B,"PERDA")</f>
        <v>0</v>
      </c>
      <c r="G366" s="51">
        <f t="shared" si="2"/>
        <v>0</v>
      </c>
      <c r="I366" s="34"/>
    </row>
    <row r="367" ht="22.5" customHeight="1">
      <c r="A367" s="35"/>
      <c r="B367" s="35"/>
      <c r="C367" s="35"/>
      <c r="D367" s="50"/>
      <c r="F367" s="51">
        <f>SUMIFS('MOVIMENTAÇÃO'!$E:$E,'MOVIMENTAÇÃO'!$C:$C,A367,'MOVIMENTAÇÃO'!$B:$B,"PERDA")</f>
        <v>0</v>
      </c>
      <c r="G367" s="51">
        <f t="shared" si="2"/>
        <v>0</v>
      </c>
      <c r="I367" s="34"/>
    </row>
    <row r="368" ht="22.5" customHeight="1">
      <c r="A368" s="35"/>
      <c r="B368" s="35"/>
      <c r="C368" s="35"/>
      <c r="D368" s="50"/>
      <c r="F368" s="51">
        <f>SUMIFS('MOVIMENTAÇÃO'!$E:$E,'MOVIMENTAÇÃO'!$C:$C,A368,'MOVIMENTAÇÃO'!$B:$B,"PERDA")</f>
        <v>0</v>
      </c>
      <c r="G368" s="51">
        <f t="shared" si="2"/>
        <v>0</v>
      </c>
      <c r="I368" s="34"/>
    </row>
    <row r="369" ht="22.5" customHeight="1">
      <c r="A369" s="35"/>
      <c r="B369" s="35"/>
      <c r="C369" s="35"/>
      <c r="D369" s="50"/>
      <c r="F369" s="51">
        <f>SUMIFS('MOVIMENTAÇÃO'!$E:$E,'MOVIMENTAÇÃO'!$C:$C,A369,'MOVIMENTAÇÃO'!$B:$B,"PERDA")</f>
        <v>0</v>
      </c>
      <c r="G369" s="51">
        <f t="shared" si="2"/>
        <v>0</v>
      </c>
      <c r="I369" s="34"/>
    </row>
    <row r="370" ht="22.5" customHeight="1">
      <c r="A370" s="35"/>
      <c r="B370" s="35"/>
      <c r="C370" s="35"/>
      <c r="D370" s="50"/>
      <c r="F370" s="51">
        <f>SUMIFS('MOVIMENTAÇÃO'!$E:$E,'MOVIMENTAÇÃO'!$C:$C,A370,'MOVIMENTAÇÃO'!$B:$B,"PERDA")</f>
        <v>0</v>
      </c>
      <c r="G370" s="51">
        <f t="shared" si="2"/>
        <v>0</v>
      </c>
      <c r="I370" s="34"/>
    </row>
    <row r="371" ht="22.5" customHeight="1">
      <c r="A371" s="35"/>
      <c r="B371" s="35"/>
      <c r="C371" s="35"/>
      <c r="D371" s="50"/>
      <c r="F371" s="51">
        <f>SUMIFS('MOVIMENTAÇÃO'!$E:$E,'MOVIMENTAÇÃO'!$C:$C,A371,'MOVIMENTAÇÃO'!$B:$B,"PERDA")</f>
        <v>0</v>
      </c>
      <c r="G371" s="51">
        <f t="shared" si="2"/>
        <v>0</v>
      </c>
      <c r="I371" s="34"/>
    </row>
    <row r="372" ht="22.5" customHeight="1">
      <c r="A372" s="35"/>
      <c r="B372" s="35"/>
      <c r="C372" s="35"/>
      <c r="D372" s="50"/>
      <c r="F372" s="51">
        <f>SUMIFS('MOVIMENTAÇÃO'!$E:$E,'MOVIMENTAÇÃO'!$C:$C,A372,'MOVIMENTAÇÃO'!$B:$B,"PERDA")</f>
        <v>0</v>
      </c>
      <c r="G372" s="51">
        <f t="shared" si="2"/>
        <v>0</v>
      </c>
      <c r="I372" s="34"/>
    </row>
    <row r="373" ht="22.5" customHeight="1">
      <c r="A373" s="35"/>
      <c r="B373" s="35"/>
      <c r="C373" s="35"/>
      <c r="D373" s="50"/>
      <c r="F373" s="51">
        <f>SUMIFS('MOVIMENTAÇÃO'!$E:$E,'MOVIMENTAÇÃO'!$C:$C,A373,'MOVIMENTAÇÃO'!$B:$B,"PERDA")</f>
        <v>0</v>
      </c>
      <c r="G373" s="51">
        <f t="shared" si="2"/>
        <v>0</v>
      </c>
      <c r="I373" s="34"/>
    </row>
    <row r="374" ht="22.5" customHeight="1">
      <c r="A374" s="35"/>
      <c r="B374" s="35"/>
      <c r="C374" s="35"/>
      <c r="D374" s="50"/>
      <c r="F374" s="51">
        <f>SUMIFS('MOVIMENTAÇÃO'!$E:$E,'MOVIMENTAÇÃO'!$C:$C,A374,'MOVIMENTAÇÃO'!$B:$B,"PERDA")</f>
        <v>0</v>
      </c>
      <c r="G374" s="51">
        <f t="shared" si="2"/>
        <v>0</v>
      </c>
      <c r="I374" s="34"/>
    </row>
    <row r="375" ht="22.5" customHeight="1">
      <c r="A375" s="35"/>
      <c r="B375" s="35"/>
      <c r="C375" s="35"/>
      <c r="D375" s="50"/>
      <c r="F375" s="51">
        <f>SUMIFS('MOVIMENTAÇÃO'!$E:$E,'MOVIMENTAÇÃO'!$C:$C,A375,'MOVIMENTAÇÃO'!$B:$B,"PERDA")</f>
        <v>0</v>
      </c>
      <c r="G375" s="51">
        <f t="shared" si="2"/>
        <v>0</v>
      </c>
      <c r="I375" s="34"/>
    </row>
    <row r="376" ht="22.5" customHeight="1">
      <c r="A376" s="35"/>
      <c r="B376" s="35"/>
      <c r="C376" s="35"/>
      <c r="D376" s="50"/>
      <c r="F376" s="51">
        <f>SUMIFS('MOVIMENTAÇÃO'!$E:$E,'MOVIMENTAÇÃO'!$C:$C,A376,'MOVIMENTAÇÃO'!$B:$B,"PERDA")</f>
        <v>0</v>
      </c>
      <c r="G376" s="51">
        <f t="shared" si="2"/>
        <v>0</v>
      </c>
      <c r="I376" s="34"/>
    </row>
    <row r="377" ht="22.5" customHeight="1">
      <c r="A377" s="35"/>
      <c r="B377" s="35"/>
      <c r="C377" s="35"/>
      <c r="D377" s="50"/>
      <c r="F377" s="51">
        <f>SUMIFS('MOVIMENTAÇÃO'!$E:$E,'MOVIMENTAÇÃO'!$C:$C,A377,'MOVIMENTAÇÃO'!$B:$B,"PERDA")</f>
        <v>0</v>
      </c>
      <c r="G377" s="51">
        <f t="shared" si="2"/>
        <v>0</v>
      </c>
      <c r="I377" s="34"/>
    </row>
    <row r="378" ht="22.5" customHeight="1">
      <c r="A378" s="35"/>
      <c r="B378" s="35"/>
      <c r="C378" s="35"/>
      <c r="D378" s="50"/>
      <c r="F378" s="51">
        <f>SUMIFS('MOVIMENTAÇÃO'!$E:$E,'MOVIMENTAÇÃO'!$C:$C,A378,'MOVIMENTAÇÃO'!$B:$B,"PERDA")</f>
        <v>0</v>
      </c>
      <c r="G378" s="51">
        <f t="shared" si="2"/>
        <v>0</v>
      </c>
      <c r="I378" s="34"/>
    </row>
    <row r="379" ht="22.5" customHeight="1">
      <c r="A379" s="35"/>
      <c r="B379" s="35"/>
      <c r="C379" s="35"/>
      <c r="D379" s="50"/>
      <c r="F379" s="51">
        <f>SUMIFS('MOVIMENTAÇÃO'!$E:$E,'MOVIMENTAÇÃO'!$C:$C,A379,'MOVIMENTAÇÃO'!$B:$B,"PERDA")</f>
        <v>0</v>
      </c>
      <c r="G379" s="51">
        <f t="shared" si="2"/>
        <v>0</v>
      </c>
      <c r="I379" s="34"/>
    </row>
    <row r="380" ht="22.5" customHeight="1">
      <c r="A380" s="35"/>
      <c r="B380" s="35"/>
      <c r="C380" s="35"/>
      <c r="D380" s="50"/>
      <c r="F380" s="51">
        <f>SUMIFS('MOVIMENTAÇÃO'!$E:$E,'MOVIMENTAÇÃO'!$C:$C,A380,'MOVIMENTAÇÃO'!$B:$B,"PERDA")</f>
        <v>0</v>
      </c>
      <c r="G380" s="51">
        <f t="shared" si="2"/>
        <v>0</v>
      </c>
      <c r="I380" s="34"/>
    </row>
    <row r="381" ht="22.5" customHeight="1">
      <c r="A381" s="35"/>
      <c r="B381" s="35"/>
      <c r="C381" s="35"/>
      <c r="D381" s="50"/>
      <c r="F381" s="51">
        <f>SUMIFS('MOVIMENTAÇÃO'!$E:$E,'MOVIMENTAÇÃO'!$C:$C,A381,'MOVIMENTAÇÃO'!$B:$B,"PERDA")</f>
        <v>0</v>
      </c>
      <c r="G381" s="51">
        <f t="shared" si="2"/>
        <v>0</v>
      </c>
      <c r="I381" s="34"/>
    </row>
    <row r="382" ht="22.5" customHeight="1">
      <c r="A382" s="35"/>
      <c r="B382" s="35"/>
      <c r="C382" s="35"/>
      <c r="D382" s="50"/>
      <c r="F382" s="51">
        <f>SUMIFS('MOVIMENTAÇÃO'!$E:$E,'MOVIMENTAÇÃO'!$C:$C,A382,'MOVIMENTAÇÃO'!$B:$B,"PERDA")</f>
        <v>0</v>
      </c>
      <c r="G382" s="51">
        <f t="shared" si="2"/>
        <v>0</v>
      </c>
      <c r="I382" s="34"/>
    </row>
    <row r="383" ht="22.5" customHeight="1">
      <c r="A383" s="35"/>
      <c r="B383" s="35"/>
      <c r="C383" s="35"/>
      <c r="D383" s="50"/>
      <c r="F383" s="51">
        <f>SUMIFS('MOVIMENTAÇÃO'!$E:$E,'MOVIMENTAÇÃO'!$C:$C,A383,'MOVIMENTAÇÃO'!$B:$B,"PERDA")</f>
        <v>0</v>
      </c>
      <c r="G383" s="51">
        <f t="shared" si="2"/>
        <v>0</v>
      </c>
      <c r="I383" s="34"/>
    </row>
    <row r="384" ht="22.5" customHeight="1">
      <c r="A384" s="35"/>
      <c r="B384" s="35"/>
      <c r="C384" s="35"/>
      <c r="D384" s="50"/>
      <c r="F384" s="51">
        <f>SUMIFS('MOVIMENTAÇÃO'!$E:$E,'MOVIMENTAÇÃO'!$C:$C,A384,'MOVIMENTAÇÃO'!$B:$B,"PERDA")</f>
        <v>0</v>
      </c>
      <c r="G384" s="51">
        <f t="shared" si="2"/>
        <v>0</v>
      </c>
      <c r="I384" s="34"/>
    </row>
    <row r="385" ht="22.5" customHeight="1">
      <c r="A385" s="35"/>
      <c r="B385" s="35"/>
      <c r="C385" s="35"/>
      <c r="D385" s="50"/>
      <c r="F385" s="51">
        <f>SUMIFS('MOVIMENTAÇÃO'!$E:$E,'MOVIMENTAÇÃO'!$C:$C,A385,'MOVIMENTAÇÃO'!$B:$B,"PERDA")</f>
        <v>0</v>
      </c>
      <c r="G385" s="51">
        <f t="shared" si="2"/>
        <v>0</v>
      </c>
      <c r="I385" s="34"/>
    </row>
    <row r="386" ht="22.5" customHeight="1">
      <c r="A386" s="35"/>
      <c r="B386" s="35"/>
      <c r="C386" s="35"/>
      <c r="D386" s="50"/>
      <c r="F386" s="51">
        <f>SUMIFS('MOVIMENTAÇÃO'!$E:$E,'MOVIMENTAÇÃO'!$C:$C,A386,'MOVIMENTAÇÃO'!$B:$B,"PERDA")</f>
        <v>0</v>
      </c>
      <c r="G386" s="51">
        <f t="shared" si="2"/>
        <v>0</v>
      </c>
      <c r="I386" s="34"/>
    </row>
    <row r="387" ht="22.5" customHeight="1">
      <c r="A387" s="35"/>
      <c r="B387" s="35"/>
      <c r="C387" s="35"/>
      <c r="D387" s="50"/>
      <c r="F387" s="51">
        <f>SUMIFS('MOVIMENTAÇÃO'!$E:$E,'MOVIMENTAÇÃO'!$C:$C,A387,'MOVIMENTAÇÃO'!$B:$B,"PERDA")</f>
        <v>0</v>
      </c>
      <c r="G387" s="51">
        <f t="shared" si="2"/>
        <v>0</v>
      </c>
      <c r="I387" s="34"/>
    </row>
    <row r="388" ht="22.5" customHeight="1">
      <c r="A388" s="35"/>
      <c r="B388" s="35"/>
      <c r="C388" s="35"/>
      <c r="D388" s="50"/>
      <c r="F388" s="51">
        <f>SUMIFS('MOVIMENTAÇÃO'!$E:$E,'MOVIMENTAÇÃO'!$C:$C,A388,'MOVIMENTAÇÃO'!$B:$B,"PERDA")</f>
        <v>0</v>
      </c>
      <c r="G388" s="51">
        <f t="shared" si="2"/>
        <v>0</v>
      </c>
      <c r="I388" s="34"/>
    </row>
    <row r="389" ht="22.5" customHeight="1">
      <c r="A389" s="35"/>
      <c r="B389" s="35"/>
      <c r="C389" s="35"/>
      <c r="D389" s="50"/>
      <c r="F389" s="51">
        <f>SUMIFS('MOVIMENTAÇÃO'!$E:$E,'MOVIMENTAÇÃO'!$C:$C,A389,'MOVIMENTAÇÃO'!$B:$B,"PERDA")</f>
        <v>0</v>
      </c>
      <c r="G389" s="51">
        <f t="shared" si="2"/>
        <v>0</v>
      </c>
      <c r="I389" s="34"/>
    </row>
    <row r="390" ht="22.5" customHeight="1">
      <c r="A390" s="35"/>
      <c r="B390" s="35"/>
      <c r="C390" s="35"/>
      <c r="D390" s="50"/>
      <c r="F390" s="51">
        <f>SUMIFS('MOVIMENTAÇÃO'!$E:$E,'MOVIMENTAÇÃO'!$C:$C,A390,'MOVIMENTAÇÃO'!$B:$B,"PERDA")</f>
        <v>0</v>
      </c>
      <c r="G390" s="51">
        <f t="shared" si="2"/>
        <v>0</v>
      </c>
      <c r="I390" s="34"/>
    </row>
    <row r="391" ht="22.5" customHeight="1">
      <c r="A391" s="35"/>
      <c r="B391" s="35"/>
      <c r="C391" s="35"/>
      <c r="D391" s="50"/>
      <c r="F391" s="51">
        <f>SUMIFS('MOVIMENTAÇÃO'!$E:$E,'MOVIMENTAÇÃO'!$C:$C,A391,'MOVIMENTAÇÃO'!$B:$B,"PERDA")</f>
        <v>0</v>
      </c>
      <c r="G391" s="51">
        <f t="shared" si="2"/>
        <v>0</v>
      </c>
      <c r="I391" s="34"/>
    </row>
    <row r="392" ht="22.5" customHeight="1">
      <c r="A392" s="35"/>
      <c r="B392" s="35"/>
      <c r="C392" s="35"/>
      <c r="D392" s="50"/>
      <c r="F392" s="51">
        <f>SUMIFS('MOVIMENTAÇÃO'!$E:$E,'MOVIMENTAÇÃO'!$C:$C,A392,'MOVIMENTAÇÃO'!$B:$B,"PERDA")</f>
        <v>0</v>
      </c>
      <c r="G392" s="51">
        <f t="shared" si="2"/>
        <v>0</v>
      </c>
      <c r="I392" s="34"/>
    </row>
    <row r="393" ht="22.5" customHeight="1">
      <c r="A393" s="35"/>
      <c r="B393" s="35"/>
      <c r="C393" s="35"/>
      <c r="D393" s="50"/>
      <c r="F393" s="51">
        <f>SUMIFS('MOVIMENTAÇÃO'!$E:$E,'MOVIMENTAÇÃO'!$C:$C,A393,'MOVIMENTAÇÃO'!$B:$B,"PERDA")</f>
        <v>0</v>
      </c>
      <c r="G393" s="51">
        <f t="shared" si="2"/>
        <v>0</v>
      </c>
      <c r="I393" s="34"/>
    </row>
    <row r="394" ht="22.5" customHeight="1">
      <c r="A394" s="35"/>
      <c r="B394" s="35"/>
      <c r="C394" s="35"/>
      <c r="D394" s="50"/>
      <c r="F394" s="51">
        <f>SUMIFS('MOVIMENTAÇÃO'!$E:$E,'MOVIMENTAÇÃO'!$C:$C,A394,'MOVIMENTAÇÃO'!$B:$B,"PERDA")</f>
        <v>0</v>
      </c>
      <c r="G394" s="51">
        <f t="shared" si="2"/>
        <v>0</v>
      </c>
      <c r="I394" s="34"/>
    </row>
    <row r="395" ht="22.5" customHeight="1">
      <c r="A395" s="35"/>
      <c r="B395" s="35"/>
      <c r="C395" s="35"/>
      <c r="D395" s="50"/>
      <c r="F395" s="51">
        <f>SUMIFS('MOVIMENTAÇÃO'!$E:$E,'MOVIMENTAÇÃO'!$C:$C,A395,'MOVIMENTAÇÃO'!$B:$B,"PERDA")</f>
        <v>0</v>
      </c>
      <c r="G395" s="51">
        <f t="shared" si="2"/>
        <v>0</v>
      </c>
      <c r="I395" s="34"/>
    </row>
    <row r="396" ht="22.5" customHeight="1">
      <c r="A396" s="35"/>
      <c r="B396" s="35"/>
      <c r="C396" s="35"/>
      <c r="D396" s="50"/>
      <c r="F396" s="51">
        <f>SUMIFS('MOVIMENTAÇÃO'!$E:$E,'MOVIMENTAÇÃO'!$C:$C,A396,'MOVIMENTAÇÃO'!$B:$B,"PERDA")</f>
        <v>0</v>
      </c>
      <c r="G396" s="51">
        <f t="shared" si="2"/>
        <v>0</v>
      </c>
      <c r="I396" s="34"/>
    </row>
    <row r="397" ht="22.5" customHeight="1">
      <c r="A397" s="35"/>
      <c r="B397" s="35"/>
      <c r="C397" s="35"/>
      <c r="D397" s="50"/>
      <c r="F397" s="51">
        <f>SUMIFS('MOVIMENTAÇÃO'!$E:$E,'MOVIMENTAÇÃO'!$C:$C,A397,'MOVIMENTAÇÃO'!$B:$B,"PERDA")</f>
        <v>0</v>
      </c>
      <c r="G397" s="51">
        <f t="shared" si="2"/>
        <v>0</v>
      </c>
      <c r="I397" s="34"/>
    </row>
    <row r="398" ht="22.5" customHeight="1">
      <c r="A398" s="35"/>
      <c r="B398" s="35"/>
      <c r="C398" s="35"/>
      <c r="D398" s="50"/>
      <c r="F398" s="51">
        <f>SUMIFS('MOVIMENTAÇÃO'!$E:$E,'MOVIMENTAÇÃO'!$C:$C,A398,'MOVIMENTAÇÃO'!$B:$B,"PERDA")</f>
        <v>0</v>
      </c>
      <c r="G398" s="51">
        <f t="shared" si="2"/>
        <v>0</v>
      </c>
      <c r="I398" s="34"/>
    </row>
    <row r="399" ht="22.5" customHeight="1">
      <c r="A399" s="35"/>
      <c r="B399" s="35"/>
      <c r="C399" s="35"/>
      <c r="D399" s="50"/>
      <c r="F399" s="51">
        <f>SUMIFS('MOVIMENTAÇÃO'!$E:$E,'MOVIMENTAÇÃO'!$C:$C,A399,'MOVIMENTAÇÃO'!$B:$B,"PERDA")</f>
        <v>0</v>
      </c>
      <c r="G399" s="51">
        <f t="shared" si="2"/>
        <v>0</v>
      </c>
      <c r="I399" s="34"/>
    </row>
    <row r="400" ht="22.5" customHeight="1">
      <c r="A400" s="35"/>
      <c r="B400" s="35"/>
      <c r="C400" s="35"/>
      <c r="D400" s="50"/>
      <c r="F400" s="51">
        <f>SUMIFS('MOVIMENTAÇÃO'!$E:$E,'MOVIMENTAÇÃO'!$C:$C,A400,'MOVIMENTAÇÃO'!$B:$B,"PERDA")</f>
        <v>0</v>
      </c>
      <c r="G400" s="51">
        <f t="shared" si="2"/>
        <v>0</v>
      </c>
      <c r="I400" s="34"/>
    </row>
    <row r="401" ht="22.5" customHeight="1">
      <c r="A401" s="35"/>
      <c r="B401" s="35"/>
      <c r="C401" s="35"/>
      <c r="D401" s="50"/>
      <c r="F401" s="51">
        <f>SUMIFS('MOVIMENTAÇÃO'!$E:$E,'MOVIMENTAÇÃO'!$C:$C,A401,'MOVIMENTAÇÃO'!$B:$B,"PERDA")</f>
        <v>0</v>
      </c>
      <c r="G401" s="51">
        <f t="shared" si="2"/>
        <v>0</v>
      </c>
      <c r="I401" s="34"/>
    </row>
    <row r="402" ht="22.5" customHeight="1">
      <c r="A402" s="35"/>
      <c r="B402" s="35"/>
      <c r="C402" s="35"/>
      <c r="D402" s="50"/>
      <c r="F402" s="51">
        <f>SUMIFS('MOVIMENTAÇÃO'!$E:$E,'MOVIMENTAÇÃO'!$C:$C,A402,'MOVIMENTAÇÃO'!$B:$B,"PERDA")</f>
        <v>0</v>
      </c>
      <c r="G402" s="51">
        <f t="shared" si="2"/>
        <v>0</v>
      </c>
      <c r="I402" s="34"/>
    </row>
    <row r="403" ht="22.5" customHeight="1">
      <c r="A403" s="35"/>
      <c r="B403" s="35"/>
      <c r="C403" s="35"/>
      <c r="D403" s="50"/>
      <c r="F403" s="51">
        <f>SUMIFS('MOVIMENTAÇÃO'!$E:$E,'MOVIMENTAÇÃO'!$C:$C,A403,'MOVIMENTAÇÃO'!$B:$B,"PERDA")</f>
        <v>0</v>
      </c>
      <c r="G403" s="51">
        <f t="shared" si="2"/>
        <v>0</v>
      </c>
      <c r="I403" s="34"/>
    </row>
    <row r="404" ht="22.5" customHeight="1">
      <c r="A404" s="35"/>
      <c r="B404" s="35"/>
      <c r="C404" s="35"/>
      <c r="D404" s="50"/>
      <c r="F404" s="51">
        <f>SUMIFS('MOVIMENTAÇÃO'!$E:$E,'MOVIMENTAÇÃO'!$C:$C,A404,'MOVIMENTAÇÃO'!$B:$B,"PERDA")</f>
        <v>0</v>
      </c>
      <c r="G404" s="51">
        <f t="shared" si="2"/>
        <v>0</v>
      </c>
      <c r="I404" s="34"/>
    </row>
    <row r="405" ht="22.5" customHeight="1">
      <c r="A405" s="35"/>
      <c r="B405" s="35"/>
      <c r="C405" s="35"/>
      <c r="D405" s="50"/>
      <c r="F405" s="51">
        <f>SUMIFS('MOVIMENTAÇÃO'!$E:$E,'MOVIMENTAÇÃO'!$C:$C,A405,'MOVIMENTAÇÃO'!$B:$B,"PERDA")</f>
        <v>0</v>
      </c>
      <c r="G405" s="51">
        <f t="shared" si="2"/>
        <v>0</v>
      </c>
      <c r="I405" s="34"/>
    </row>
    <row r="406" ht="22.5" customHeight="1">
      <c r="A406" s="35"/>
      <c r="B406" s="35"/>
      <c r="C406" s="35"/>
      <c r="D406" s="50"/>
      <c r="F406" s="51">
        <f>SUMIFS('MOVIMENTAÇÃO'!$E:$E,'MOVIMENTAÇÃO'!$C:$C,A406,'MOVIMENTAÇÃO'!$B:$B,"PERDA")</f>
        <v>0</v>
      </c>
      <c r="G406" s="51">
        <f t="shared" si="2"/>
        <v>0</v>
      </c>
      <c r="I406" s="34"/>
    </row>
    <row r="407" ht="22.5" customHeight="1">
      <c r="A407" s="35"/>
      <c r="B407" s="35"/>
      <c r="C407" s="35"/>
      <c r="D407" s="50"/>
      <c r="F407" s="51">
        <f>SUMIFS('MOVIMENTAÇÃO'!$E:$E,'MOVIMENTAÇÃO'!$C:$C,A407,'MOVIMENTAÇÃO'!$B:$B,"PERDA")</f>
        <v>0</v>
      </c>
      <c r="G407" s="51">
        <f t="shared" si="2"/>
        <v>0</v>
      </c>
      <c r="I407" s="34"/>
    </row>
    <row r="408" ht="22.5" customHeight="1">
      <c r="A408" s="35"/>
      <c r="B408" s="35"/>
      <c r="C408" s="35"/>
      <c r="D408" s="50"/>
      <c r="F408" s="51">
        <f>SUMIFS('MOVIMENTAÇÃO'!$E:$E,'MOVIMENTAÇÃO'!$C:$C,A408,'MOVIMENTAÇÃO'!$B:$B,"PERDA")</f>
        <v>0</v>
      </c>
      <c r="G408" s="51">
        <f t="shared" si="2"/>
        <v>0</v>
      </c>
      <c r="I408" s="34"/>
    </row>
    <row r="409" ht="22.5" customHeight="1">
      <c r="A409" s="35"/>
      <c r="B409" s="35"/>
      <c r="C409" s="35"/>
      <c r="D409" s="50"/>
      <c r="F409" s="51">
        <f>SUMIFS('MOVIMENTAÇÃO'!$E:$E,'MOVIMENTAÇÃO'!$C:$C,A409,'MOVIMENTAÇÃO'!$B:$B,"PERDA")</f>
        <v>0</v>
      </c>
      <c r="G409" s="51">
        <f t="shared" si="2"/>
        <v>0</v>
      </c>
      <c r="I409" s="34"/>
    </row>
    <row r="410" ht="22.5" customHeight="1">
      <c r="A410" s="35"/>
      <c r="B410" s="35"/>
      <c r="C410" s="35"/>
      <c r="D410" s="50"/>
      <c r="F410" s="51">
        <f>SUMIFS('MOVIMENTAÇÃO'!$E:$E,'MOVIMENTAÇÃO'!$C:$C,A410,'MOVIMENTAÇÃO'!$B:$B,"PERDA")</f>
        <v>0</v>
      </c>
      <c r="G410" s="51">
        <f t="shared" si="2"/>
        <v>0</v>
      </c>
      <c r="I410" s="34"/>
    </row>
    <row r="411" ht="22.5" customHeight="1">
      <c r="A411" s="35"/>
      <c r="B411" s="35"/>
      <c r="C411" s="35"/>
      <c r="D411" s="50"/>
      <c r="F411" s="51">
        <f>SUMIFS('MOVIMENTAÇÃO'!$E:$E,'MOVIMENTAÇÃO'!$C:$C,A411,'MOVIMENTAÇÃO'!$B:$B,"PERDA")</f>
        <v>0</v>
      </c>
      <c r="G411" s="51">
        <f t="shared" si="2"/>
        <v>0</v>
      </c>
      <c r="I411" s="34"/>
    </row>
    <row r="412" ht="22.5" customHeight="1">
      <c r="A412" s="35"/>
      <c r="B412" s="35"/>
      <c r="C412" s="35"/>
      <c r="D412" s="50"/>
      <c r="F412" s="51">
        <f>SUMIFS('MOVIMENTAÇÃO'!$E:$E,'MOVIMENTAÇÃO'!$C:$C,A412,'MOVIMENTAÇÃO'!$B:$B,"PERDA")</f>
        <v>0</v>
      </c>
      <c r="G412" s="51">
        <f t="shared" si="2"/>
        <v>0</v>
      </c>
      <c r="I412" s="34"/>
    </row>
    <row r="413" ht="22.5" customHeight="1">
      <c r="A413" s="35"/>
      <c r="B413" s="35"/>
      <c r="C413" s="35"/>
      <c r="D413" s="50"/>
      <c r="F413" s="51">
        <f>SUMIFS('MOVIMENTAÇÃO'!$E:$E,'MOVIMENTAÇÃO'!$C:$C,A413,'MOVIMENTAÇÃO'!$B:$B,"PERDA")</f>
        <v>0</v>
      </c>
      <c r="G413" s="51">
        <f t="shared" si="2"/>
        <v>0</v>
      </c>
      <c r="I413" s="34"/>
    </row>
    <row r="414" ht="22.5" customHeight="1">
      <c r="A414" s="35"/>
      <c r="B414" s="35"/>
      <c r="C414" s="35"/>
      <c r="D414" s="50"/>
      <c r="F414" s="51">
        <f>SUMIFS('MOVIMENTAÇÃO'!$E:$E,'MOVIMENTAÇÃO'!$C:$C,A414,'MOVIMENTAÇÃO'!$B:$B,"PERDA")</f>
        <v>0</v>
      </c>
      <c r="G414" s="51">
        <f t="shared" si="2"/>
        <v>0</v>
      </c>
      <c r="I414" s="34"/>
    </row>
    <row r="415" ht="22.5" customHeight="1">
      <c r="A415" s="35"/>
      <c r="B415" s="35"/>
      <c r="C415" s="35"/>
      <c r="D415" s="50"/>
      <c r="F415" s="51">
        <f>SUMIFS('MOVIMENTAÇÃO'!$E:$E,'MOVIMENTAÇÃO'!$C:$C,A415,'MOVIMENTAÇÃO'!$B:$B,"PERDA")</f>
        <v>0</v>
      </c>
      <c r="G415" s="51">
        <f t="shared" si="2"/>
        <v>0</v>
      </c>
      <c r="I415" s="34"/>
    </row>
    <row r="416" ht="22.5" customHeight="1">
      <c r="A416" s="35"/>
      <c r="B416" s="35"/>
      <c r="C416" s="35"/>
      <c r="D416" s="50"/>
      <c r="F416" s="51">
        <f>SUMIFS('MOVIMENTAÇÃO'!$E:$E,'MOVIMENTAÇÃO'!$C:$C,A416,'MOVIMENTAÇÃO'!$B:$B,"PERDA")</f>
        <v>0</v>
      </c>
      <c r="G416" s="51">
        <f t="shared" si="2"/>
        <v>0</v>
      </c>
      <c r="I416" s="34"/>
    </row>
    <row r="417" ht="22.5" customHeight="1">
      <c r="A417" s="35"/>
      <c r="B417" s="35"/>
      <c r="C417" s="35"/>
      <c r="D417" s="50"/>
      <c r="F417" s="51">
        <f>SUMIFS('MOVIMENTAÇÃO'!$E:$E,'MOVIMENTAÇÃO'!$C:$C,A417,'MOVIMENTAÇÃO'!$B:$B,"PERDA")</f>
        <v>0</v>
      </c>
      <c r="G417" s="51">
        <f t="shared" si="2"/>
        <v>0</v>
      </c>
      <c r="I417" s="34"/>
    </row>
    <row r="418" ht="22.5" customHeight="1">
      <c r="A418" s="35"/>
      <c r="B418" s="35"/>
      <c r="C418" s="35"/>
      <c r="D418" s="50"/>
      <c r="F418" s="51">
        <f>SUMIFS('MOVIMENTAÇÃO'!$E:$E,'MOVIMENTAÇÃO'!$C:$C,A418,'MOVIMENTAÇÃO'!$B:$B,"PERDA")</f>
        <v>0</v>
      </c>
      <c r="G418" s="51">
        <f t="shared" si="2"/>
        <v>0</v>
      </c>
      <c r="I418" s="34"/>
    </row>
    <row r="419" ht="22.5" customHeight="1">
      <c r="A419" s="35"/>
      <c r="B419" s="35"/>
      <c r="C419" s="35"/>
      <c r="D419" s="50"/>
      <c r="F419" s="51">
        <f>SUMIFS('MOVIMENTAÇÃO'!$E:$E,'MOVIMENTAÇÃO'!$C:$C,A419,'MOVIMENTAÇÃO'!$B:$B,"PERDA")</f>
        <v>0</v>
      </c>
      <c r="G419" s="51">
        <f t="shared" si="2"/>
        <v>0</v>
      </c>
      <c r="I419" s="34"/>
    </row>
    <row r="420" ht="22.5" customHeight="1">
      <c r="A420" s="35"/>
      <c r="B420" s="35"/>
      <c r="C420" s="35"/>
      <c r="D420" s="50"/>
      <c r="F420" s="51">
        <f>SUMIFS('MOVIMENTAÇÃO'!$E:$E,'MOVIMENTAÇÃO'!$C:$C,A420,'MOVIMENTAÇÃO'!$B:$B,"PERDA")</f>
        <v>0</v>
      </c>
      <c r="G420" s="51">
        <f t="shared" si="2"/>
        <v>0</v>
      </c>
      <c r="I420" s="34"/>
    </row>
    <row r="421" ht="22.5" customHeight="1">
      <c r="A421" s="35"/>
      <c r="B421" s="35"/>
      <c r="C421" s="35"/>
      <c r="D421" s="50"/>
      <c r="F421" s="51">
        <f>SUMIFS('MOVIMENTAÇÃO'!$E:$E,'MOVIMENTAÇÃO'!$C:$C,A421,'MOVIMENTAÇÃO'!$B:$B,"PERDA")</f>
        <v>0</v>
      </c>
      <c r="G421" s="51">
        <f t="shared" si="2"/>
        <v>0</v>
      </c>
      <c r="I421" s="34"/>
    </row>
    <row r="422" ht="22.5" customHeight="1">
      <c r="A422" s="35"/>
      <c r="B422" s="35"/>
      <c r="C422" s="35"/>
      <c r="D422" s="50"/>
      <c r="F422" s="51">
        <f>SUMIFS('MOVIMENTAÇÃO'!$E:$E,'MOVIMENTAÇÃO'!$C:$C,A422,'MOVIMENTAÇÃO'!$B:$B,"PERDA")</f>
        <v>0</v>
      </c>
      <c r="G422" s="51">
        <f t="shared" si="2"/>
        <v>0</v>
      </c>
      <c r="I422" s="34"/>
    </row>
    <row r="423" ht="22.5" customHeight="1">
      <c r="A423" s="35"/>
      <c r="B423" s="35"/>
      <c r="C423" s="35"/>
      <c r="D423" s="50"/>
      <c r="F423" s="51">
        <f>SUMIFS('MOVIMENTAÇÃO'!$E:$E,'MOVIMENTAÇÃO'!$C:$C,A423,'MOVIMENTAÇÃO'!$B:$B,"PERDA")</f>
        <v>0</v>
      </c>
      <c r="G423" s="51">
        <f t="shared" si="2"/>
        <v>0</v>
      </c>
      <c r="I423" s="34"/>
    </row>
    <row r="424" ht="22.5" customHeight="1">
      <c r="A424" s="35"/>
      <c r="B424" s="35"/>
      <c r="C424" s="35"/>
      <c r="D424" s="50"/>
      <c r="F424" s="51">
        <f>SUMIFS('MOVIMENTAÇÃO'!$E:$E,'MOVIMENTAÇÃO'!$C:$C,A424,'MOVIMENTAÇÃO'!$B:$B,"PERDA")</f>
        <v>0</v>
      </c>
      <c r="G424" s="51">
        <f t="shared" si="2"/>
        <v>0</v>
      </c>
      <c r="I424" s="34"/>
    </row>
    <row r="425" ht="22.5" customHeight="1">
      <c r="A425" s="35"/>
      <c r="B425" s="35"/>
      <c r="C425" s="35"/>
      <c r="D425" s="50"/>
      <c r="F425" s="51">
        <f>SUMIFS('MOVIMENTAÇÃO'!$E:$E,'MOVIMENTAÇÃO'!$C:$C,A425,'MOVIMENTAÇÃO'!$B:$B,"PERDA")</f>
        <v>0</v>
      </c>
      <c r="G425" s="51">
        <f t="shared" si="2"/>
        <v>0</v>
      </c>
      <c r="I425" s="34"/>
    </row>
    <row r="426" ht="22.5" customHeight="1">
      <c r="A426" s="35"/>
      <c r="B426" s="35"/>
      <c r="C426" s="35"/>
      <c r="D426" s="50"/>
      <c r="F426" s="51">
        <f>SUMIFS('MOVIMENTAÇÃO'!$E:$E,'MOVIMENTAÇÃO'!$C:$C,A426,'MOVIMENTAÇÃO'!$B:$B,"PERDA")</f>
        <v>0</v>
      </c>
      <c r="G426" s="51">
        <f t="shared" si="2"/>
        <v>0</v>
      </c>
      <c r="I426" s="34"/>
    </row>
    <row r="427" ht="22.5" customHeight="1">
      <c r="A427" s="35"/>
      <c r="B427" s="35"/>
      <c r="C427" s="35"/>
      <c r="D427" s="50"/>
      <c r="F427" s="51">
        <f>SUMIFS('MOVIMENTAÇÃO'!$E:$E,'MOVIMENTAÇÃO'!$C:$C,A427,'MOVIMENTAÇÃO'!$B:$B,"PERDA")</f>
        <v>0</v>
      </c>
      <c r="G427" s="51">
        <f t="shared" si="2"/>
        <v>0</v>
      </c>
      <c r="I427" s="34"/>
    </row>
    <row r="428" ht="22.5" customHeight="1">
      <c r="A428" s="35"/>
      <c r="B428" s="35"/>
      <c r="C428" s="35"/>
      <c r="D428" s="50"/>
      <c r="F428" s="51">
        <f>SUMIFS('MOVIMENTAÇÃO'!$E:$E,'MOVIMENTAÇÃO'!$C:$C,A428,'MOVIMENTAÇÃO'!$B:$B,"PERDA")</f>
        <v>0</v>
      </c>
      <c r="G428" s="51">
        <f t="shared" si="2"/>
        <v>0</v>
      </c>
      <c r="I428" s="34"/>
    </row>
    <row r="429" ht="22.5" customHeight="1">
      <c r="A429" s="35"/>
      <c r="B429" s="35"/>
      <c r="C429" s="35"/>
      <c r="D429" s="50"/>
      <c r="F429" s="51">
        <f>SUMIFS('MOVIMENTAÇÃO'!$E:$E,'MOVIMENTAÇÃO'!$C:$C,A429,'MOVIMENTAÇÃO'!$B:$B,"PERDA")</f>
        <v>0</v>
      </c>
      <c r="G429" s="51">
        <f t="shared" si="2"/>
        <v>0</v>
      </c>
      <c r="I429" s="34"/>
    </row>
    <row r="430" ht="22.5" customHeight="1">
      <c r="A430" s="35"/>
      <c r="B430" s="35"/>
      <c r="C430" s="35"/>
      <c r="D430" s="50"/>
      <c r="F430" s="51">
        <f>SUMIFS('MOVIMENTAÇÃO'!$E:$E,'MOVIMENTAÇÃO'!$C:$C,A430,'MOVIMENTAÇÃO'!$B:$B,"PERDA")</f>
        <v>0</v>
      </c>
      <c r="G430" s="51">
        <f t="shared" si="2"/>
        <v>0</v>
      </c>
      <c r="I430" s="34"/>
    </row>
    <row r="431" ht="22.5" customHeight="1">
      <c r="A431" s="35"/>
      <c r="B431" s="35"/>
      <c r="C431" s="35"/>
      <c r="D431" s="50"/>
      <c r="F431" s="51">
        <f>SUMIFS('MOVIMENTAÇÃO'!$E:$E,'MOVIMENTAÇÃO'!$C:$C,A431,'MOVIMENTAÇÃO'!$B:$B,"PERDA")</f>
        <v>0</v>
      </c>
      <c r="G431" s="51">
        <f t="shared" si="2"/>
        <v>0</v>
      </c>
      <c r="I431" s="34"/>
    </row>
    <row r="432" ht="22.5" customHeight="1">
      <c r="A432" s="35"/>
      <c r="B432" s="35"/>
      <c r="C432" s="35"/>
      <c r="D432" s="50"/>
      <c r="F432" s="51">
        <f>SUMIFS('MOVIMENTAÇÃO'!$E:$E,'MOVIMENTAÇÃO'!$C:$C,A432,'MOVIMENTAÇÃO'!$B:$B,"PERDA")</f>
        <v>0</v>
      </c>
      <c r="G432" s="51">
        <f t="shared" si="2"/>
        <v>0</v>
      </c>
      <c r="I432" s="34"/>
    </row>
    <row r="433" ht="22.5" customHeight="1">
      <c r="A433" s="35"/>
      <c r="B433" s="35"/>
      <c r="C433" s="35"/>
      <c r="D433" s="50"/>
      <c r="F433" s="51">
        <f>SUMIFS('MOVIMENTAÇÃO'!$E:$E,'MOVIMENTAÇÃO'!$C:$C,A433,'MOVIMENTAÇÃO'!$B:$B,"PERDA")</f>
        <v>0</v>
      </c>
      <c r="G433" s="51">
        <f t="shared" si="2"/>
        <v>0</v>
      </c>
      <c r="I433" s="34"/>
    </row>
    <row r="434" ht="22.5" customHeight="1">
      <c r="A434" s="35"/>
      <c r="B434" s="35"/>
      <c r="C434" s="35"/>
      <c r="D434" s="50"/>
      <c r="F434" s="51">
        <f>SUMIFS('MOVIMENTAÇÃO'!$E:$E,'MOVIMENTAÇÃO'!$C:$C,A434,'MOVIMENTAÇÃO'!$B:$B,"PERDA")</f>
        <v>0</v>
      </c>
      <c r="G434" s="51">
        <f t="shared" si="2"/>
        <v>0</v>
      </c>
      <c r="I434" s="34"/>
    </row>
    <row r="435" ht="22.5" customHeight="1">
      <c r="A435" s="35"/>
      <c r="B435" s="35"/>
      <c r="C435" s="35"/>
      <c r="D435" s="50"/>
      <c r="F435" s="51">
        <f>SUMIFS('MOVIMENTAÇÃO'!$E:$E,'MOVIMENTAÇÃO'!$C:$C,A435,'MOVIMENTAÇÃO'!$B:$B,"PERDA")</f>
        <v>0</v>
      </c>
      <c r="G435" s="51">
        <f t="shared" si="2"/>
        <v>0</v>
      </c>
      <c r="I435" s="34"/>
    </row>
    <row r="436" ht="22.5" customHeight="1">
      <c r="A436" s="35"/>
      <c r="B436" s="35"/>
      <c r="C436" s="35"/>
      <c r="D436" s="50"/>
      <c r="F436" s="51">
        <f>SUMIFS('MOVIMENTAÇÃO'!$E:$E,'MOVIMENTAÇÃO'!$C:$C,A436,'MOVIMENTAÇÃO'!$B:$B,"PERDA")</f>
        <v>0</v>
      </c>
      <c r="G436" s="51">
        <f t="shared" si="2"/>
        <v>0</v>
      </c>
      <c r="I436" s="34"/>
    </row>
    <row r="437" ht="22.5" customHeight="1">
      <c r="A437" s="35"/>
      <c r="B437" s="35"/>
      <c r="C437" s="35"/>
      <c r="D437" s="50"/>
      <c r="F437" s="51">
        <f>SUMIFS('MOVIMENTAÇÃO'!$E:$E,'MOVIMENTAÇÃO'!$C:$C,A437,'MOVIMENTAÇÃO'!$B:$B,"PERDA")</f>
        <v>0</v>
      </c>
      <c r="G437" s="51">
        <f t="shared" si="2"/>
        <v>0</v>
      </c>
      <c r="I437" s="34"/>
    </row>
    <row r="438" ht="22.5" customHeight="1">
      <c r="A438" s="35"/>
      <c r="B438" s="35"/>
      <c r="C438" s="35"/>
      <c r="D438" s="50"/>
      <c r="F438" s="51">
        <f>SUMIFS('MOVIMENTAÇÃO'!$E:$E,'MOVIMENTAÇÃO'!$C:$C,A438,'MOVIMENTAÇÃO'!$B:$B,"PERDA")</f>
        <v>0</v>
      </c>
      <c r="G438" s="51">
        <f t="shared" si="2"/>
        <v>0</v>
      </c>
      <c r="I438" s="34"/>
    </row>
    <row r="439" ht="22.5" customHeight="1">
      <c r="A439" s="35"/>
      <c r="B439" s="35"/>
      <c r="C439" s="35"/>
      <c r="D439" s="50"/>
      <c r="F439" s="51">
        <f>SUMIFS('MOVIMENTAÇÃO'!$E:$E,'MOVIMENTAÇÃO'!$C:$C,A439,'MOVIMENTAÇÃO'!$B:$B,"PERDA")</f>
        <v>0</v>
      </c>
      <c r="G439" s="51">
        <f t="shared" si="2"/>
        <v>0</v>
      </c>
      <c r="I439" s="34"/>
    </row>
    <row r="440" ht="22.5" customHeight="1">
      <c r="A440" s="35"/>
      <c r="B440" s="35"/>
      <c r="C440" s="35"/>
      <c r="D440" s="50"/>
      <c r="F440" s="51">
        <f>SUMIFS('MOVIMENTAÇÃO'!$E:$E,'MOVIMENTAÇÃO'!$C:$C,A440,'MOVIMENTAÇÃO'!$B:$B,"PERDA")</f>
        <v>0</v>
      </c>
      <c r="G440" s="51">
        <f t="shared" si="2"/>
        <v>0</v>
      </c>
      <c r="I440" s="34"/>
    </row>
    <row r="441" ht="22.5" customHeight="1">
      <c r="A441" s="35"/>
      <c r="B441" s="35"/>
      <c r="C441" s="35"/>
      <c r="D441" s="50"/>
      <c r="F441" s="51">
        <f>SUMIFS('MOVIMENTAÇÃO'!$E:$E,'MOVIMENTAÇÃO'!$C:$C,A441,'MOVIMENTAÇÃO'!$B:$B,"PERDA")</f>
        <v>0</v>
      </c>
      <c r="G441" s="51">
        <f t="shared" si="2"/>
        <v>0</v>
      </c>
      <c r="I441" s="34"/>
    </row>
    <row r="442" ht="22.5" customHeight="1">
      <c r="A442" s="35"/>
      <c r="B442" s="35"/>
      <c r="C442" s="35"/>
      <c r="D442" s="50"/>
      <c r="F442" s="51">
        <f>SUMIFS('MOVIMENTAÇÃO'!$E:$E,'MOVIMENTAÇÃO'!$C:$C,A442,'MOVIMENTAÇÃO'!$B:$B,"PERDA")</f>
        <v>0</v>
      </c>
      <c r="G442" s="51">
        <f t="shared" si="2"/>
        <v>0</v>
      </c>
      <c r="I442" s="34"/>
    </row>
    <row r="443" ht="22.5" customHeight="1">
      <c r="A443" s="35"/>
      <c r="B443" s="35"/>
      <c r="C443" s="35"/>
      <c r="D443" s="50"/>
      <c r="F443" s="51">
        <f>SUMIFS('MOVIMENTAÇÃO'!$E:$E,'MOVIMENTAÇÃO'!$C:$C,A443,'MOVIMENTAÇÃO'!$B:$B,"PERDA")</f>
        <v>0</v>
      </c>
      <c r="G443" s="51">
        <f t="shared" si="2"/>
        <v>0</v>
      </c>
      <c r="I443" s="34"/>
    </row>
    <row r="444" ht="22.5" customHeight="1">
      <c r="A444" s="35"/>
      <c r="B444" s="35"/>
      <c r="C444" s="35"/>
      <c r="D444" s="50"/>
      <c r="F444" s="51">
        <f>SUMIFS('MOVIMENTAÇÃO'!$E:$E,'MOVIMENTAÇÃO'!$C:$C,A444,'MOVIMENTAÇÃO'!$B:$B,"PERDA")</f>
        <v>0</v>
      </c>
      <c r="G444" s="51">
        <f t="shared" si="2"/>
        <v>0</v>
      </c>
      <c r="I444" s="34"/>
    </row>
    <row r="445" ht="22.5" customHeight="1">
      <c r="A445" s="35"/>
      <c r="B445" s="35"/>
      <c r="C445" s="35"/>
      <c r="D445" s="50"/>
      <c r="F445" s="51">
        <f>SUMIFS('MOVIMENTAÇÃO'!$E:$E,'MOVIMENTAÇÃO'!$C:$C,A445,'MOVIMENTAÇÃO'!$B:$B,"PERDA")</f>
        <v>0</v>
      </c>
      <c r="G445" s="51">
        <f t="shared" si="2"/>
        <v>0</v>
      </c>
      <c r="I445" s="34"/>
    </row>
    <row r="446" ht="22.5" customHeight="1">
      <c r="A446" s="35"/>
      <c r="B446" s="35"/>
      <c r="C446" s="35"/>
      <c r="D446" s="50"/>
      <c r="F446" s="51">
        <f>SUMIFS('MOVIMENTAÇÃO'!$E:$E,'MOVIMENTAÇÃO'!$C:$C,A446,'MOVIMENTAÇÃO'!$B:$B,"PERDA")</f>
        <v>0</v>
      </c>
      <c r="G446" s="51">
        <f t="shared" si="2"/>
        <v>0</v>
      </c>
      <c r="I446" s="34"/>
    </row>
    <row r="447" ht="22.5" customHeight="1">
      <c r="A447" s="35"/>
      <c r="B447" s="35"/>
      <c r="C447" s="35"/>
      <c r="D447" s="50"/>
      <c r="F447" s="51">
        <f>SUMIFS('MOVIMENTAÇÃO'!$E:$E,'MOVIMENTAÇÃO'!$C:$C,A447,'MOVIMENTAÇÃO'!$B:$B,"PERDA")</f>
        <v>0</v>
      </c>
      <c r="G447" s="51">
        <f t="shared" si="2"/>
        <v>0</v>
      </c>
      <c r="I447" s="34"/>
    </row>
    <row r="448" ht="22.5" customHeight="1">
      <c r="A448" s="35"/>
      <c r="B448" s="35"/>
      <c r="C448" s="35"/>
      <c r="D448" s="50"/>
      <c r="F448" s="51">
        <f>SUMIFS('MOVIMENTAÇÃO'!$E:$E,'MOVIMENTAÇÃO'!$C:$C,A448,'MOVIMENTAÇÃO'!$B:$B,"PERDA")</f>
        <v>0</v>
      </c>
      <c r="G448" s="51">
        <f t="shared" si="2"/>
        <v>0</v>
      </c>
      <c r="I448" s="34"/>
    </row>
    <row r="449" ht="22.5" customHeight="1">
      <c r="A449" s="35"/>
      <c r="B449" s="35"/>
      <c r="C449" s="35"/>
      <c r="D449" s="50"/>
      <c r="F449" s="51">
        <f>SUMIFS('MOVIMENTAÇÃO'!$E:$E,'MOVIMENTAÇÃO'!$C:$C,A449,'MOVIMENTAÇÃO'!$B:$B,"PERDA")</f>
        <v>0</v>
      </c>
      <c r="G449" s="51">
        <f t="shared" si="2"/>
        <v>0</v>
      </c>
      <c r="I449" s="34"/>
    </row>
    <row r="450" ht="22.5" customHeight="1">
      <c r="A450" s="35"/>
      <c r="B450" s="35"/>
      <c r="C450" s="35"/>
      <c r="D450" s="50"/>
      <c r="F450" s="51">
        <f>SUMIFS('MOVIMENTAÇÃO'!$E:$E,'MOVIMENTAÇÃO'!$C:$C,A450,'MOVIMENTAÇÃO'!$B:$B,"PERDA")</f>
        <v>0</v>
      </c>
      <c r="G450" s="51">
        <f t="shared" si="2"/>
        <v>0</v>
      </c>
      <c r="I450" s="34"/>
    </row>
    <row r="451" ht="22.5" customHeight="1">
      <c r="A451" s="35"/>
      <c r="B451" s="35"/>
      <c r="C451" s="35"/>
      <c r="D451" s="50"/>
      <c r="F451" s="51">
        <f>SUMIFS('MOVIMENTAÇÃO'!$E:$E,'MOVIMENTAÇÃO'!$C:$C,A451,'MOVIMENTAÇÃO'!$B:$B,"PERDA")</f>
        <v>0</v>
      </c>
      <c r="G451" s="51">
        <f t="shared" si="2"/>
        <v>0</v>
      </c>
      <c r="I451" s="34"/>
    </row>
    <row r="452" ht="22.5" customHeight="1">
      <c r="A452" s="35"/>
      <c r="B452" s="35"/>
      <c r="C452" s="35"/>
      <c r="D452" s="50"/>
      <c r="F452" s="51">
        <f>SUMIFS('MOVIMENTAÇÃO'!$E:$E,'MOVIMENTAÇÃO'!$C:$C,A452,'MOVIMENTAÇÃO'!$B:$B,"PERDA")</f>
        <v>0</v>
      </c>
      <c r="G452" s="51">
        <f t="shared" si="2"/>
        <v>0</v>
      </c>
      <c r="I452" s="34"/>
    </row>
    <row r="453" ht="22.5" customHeight="1">
      <c r="A453" s="35"/>
      <c r="B453" s="35"/>
      <c r="C453" s="35"/>
      <c r="D453" s="50"/>
      <c r="F453" s="51">
        <f>SUMIFS('MOVIMENTAÇÃO'!$E:$E,'MOVIMENTAÇÃO'!$C:$C,A453,'MOVIMENTAÇÃO'!$B:$B,"PERDA")</f>
        <v>0</v>
      </c>
      <c r="G453" s="51">
        <f t="shared" si="2"/>
        <v>0</v>
      </c>
      <c r="I453" s="34"/>
    </row>
    <row r="454" ht="22.5" customHeight="1">
      <c r="A454" s="35"/>
      <c r="B454" s="35"/>
      <c r="C454" s="35"/>
      <c r="D454" s="50"/>
      <c r="F454" s="51">
        <f>SUMIFS('MOVIMENTAÇÃO'!$E:$E,'MOVIMENTAÇÃO'!$C:$C,A454,'MOVIMENTAÇÃO'!$B:$B,"PERDA")</f>
        <v>0</v>
      </c>
      <c r="G454" s="51">
        <f t="shared" si="2"/>
        <v>0</v>
      </c>
      <c r="I454" s="34"/>
    </row>
    <row r="455" ht="22.5" customHeight="1">
      <c r="A455" s="35"/>
      <c r="B455" s="35"/>
      <c r="C455" s="35"/>
      <c r="D455" s="50"/>
      <c r="F455" s="51">
        <f>SUMIFS('MOVIMENTAÇÃO'!$E:$E,'MOVIMENTAÇÃO'!$C:$C,A455,'MOVIMENTAÇÃO'!$B:$B,"PERDA")</f>
        <v>0</v>
      </c>
      <c r="G455" s="51">
        <f t="shared" si="2"/>
        <v>0</v>
      </c>
      <c r="I455" s="34"/>
    </row>
    <row r="456" ht="22.5" customHeight="1">
      <c r="A456" s="35"/>
      <c r="B456" s="35"/>
      <c r="C456" s="35"/>
      <c r="D456" s="50"/>
      <c r="F456" s="51">
        <f>SUMIFS('MOVIMENTAÇÃO'!$E:$E,'MOVIMENTAÇÃO'!$C:$C,A456,'MOVIMENTAÇÃO'!$B:$B,"PERDA")</f>
        <v>0</v>
      </c>
      <c r="G456" s="51">
        <f t="shared" si="2"/>
        <v>0</v>
      </c>
      <c r="I456" s="34"/>
    </row>
    <row r="457" ht="22.5" customHeight="1">
      <c r="A457" s="35"/>
      <c r="B457" s="35"/>
      <c r="C457" s="35"/>
      <c r="D457" s="50"/>
      <c r="F457" s="51">
        <f>SUMIFS('MOVIMENTAÇÃO'!$E:$E,'MOVIMENTAÇÃO'!$C:$C,A457,'MOVIMENTAÇÃO'!$B:$B,"PERDA")</f>
        <v>0</v>
      </c>
      <c r="G457" s="51">
        <f t="shared" si="2"/>
        <v>0</v>
      </c>
      <c r="I457" s="34"/>
    </row>
    <row r="458" ht="22.5" customHeight="1">
      <c r="A458" s="35"/>
      <c r="B458" s="35"/>
      <c r="C458" s="35"/>
      <c r="D458" s="50"/>
      <c r="F458" s="51">
        <f>SUMIFS('MOVIMENTAÇÃO'!$E:$E,'MOVIMENTAÇÃO'!$C:$C,A458,'MOVIMENTAÇÃO'!$B:$B,"PERDA")</f>
        <v>0</v>
      </c>
      <c r="G458" s="51">
        <f t="shared" si="2"/>
        <v>0</v>
      </c>
      <c r="I458" s="34"/>
    </row>
    <row r="459" ht="22.5" customHeight="1">
      <c r="A459" s="35"/>
      <c r="B459" s="35"/>
      <c r="C459" s="35"/>
      <c r="D459" s="50"/>
      <c r="F459" s="51">
        <f>SUMIFS('MOVIMENTAÇÃO'!$E:$E,'MOVIMENTAÇÃO'!$C:$C,A459,'MOVIMENTAÇÃO'!$B:$B,"PERDA")</f>
        <v>0</v>
      </c>
      <c r="G459" s="51">
        <f t="shared" si="2"/>
        <v>0</v>
      </c>
      <c r="I459" s="34"/>
    </row>
    <row r="460" ht="22.5" customHeight="1">
      <c r="A460" s="35"/>
      <c r="B460" s="35"/>
      <c r="C460" s="35"/>
      <c r="D460" s="50"/>
      <c r="F460" s="51">
        <f>SUMIFS('MOVIMENTAÇÃO'!$E:$E,'MOVIMENTAÇÃO'!$C:$C,A460,'MOVIMENTAÇÃO'!$B:$B,"PERDA")</f>
        <v>0</v>
      </c>
      <c r="G460" s="51">
        <f t="shared" si="2"/>
        <v>0</v>
      </c>
      <c r="I460" s="34"/>
    </row>
    <row r="461" ht="22.5" customHeight="1">
      <c r="A461" s="35"/>
      <c r="B461" s="35"/>
      <c r="C461" s="35"/>
      <c r="D461" s="50"/>
      <c r="F461" s="51">
        <f>SUMIFS('MOVIMENTAÇÃO'!$E:$E,'MOVIMENTAÇÃO'!$C:$C,A461,'MOVIMENTAÇÃO'!$B:$B,"PERDA")</f>
        <v>0</v>
      </c>
      <c r="G461" s="51">
        <f t="shared" si="2"/>
        <v>0</v>
      </c>
      <c r="I461" s="34"/>
    </row>
    <row r="462" ht="22.5" customHeight="1">
      <c r="A462" s="35"/>
      <c r="B462" s="35"/>
      <c r="C462" s="35"/>
      <c r="D462" s="50"/>
      <c r="F462" s="51">
        <f>SUMIFS('MOVIMENTAÇÃO'!$E:$E,'MOVIMENTAÇÃO'!$C:$C,A462,'MOVIMENTAÇÃO'!$B:$B,"PERDA")</f>
        <v>0</v>
      </c>
      <c r="G462" s="51">
        <f t="shared" si="2"/>
        <v>0</v>
      </c>
      <c r="I462" s="34"/>
    </row>
    <row r="463" ht="22.5" customHeight="1">
      <c r="A463" s="35"/>
      <c r="B463" s="35"/>
      <c r="C463" s="35"/>
      <c r="D463" s="50"/>
      <c r="F463" s="51">
        <f>SUMIFS('MOVIMENTAÇÃO'!$E:$E,'MOVIMENTAÇÃO'!$C:$C,A463,'MOVIMENTAÇÃO'!$B:$B,"PERDA")</f>
        <v>0</v>
      </c>
      <c r="G463" s="51">
        <f t="shared" si="2"/>
        <v>0</v>
      </c>
      <c r="I463" s="34"/>
    </row>
    <row r="464" ht="22.5" customHeight="1">
      <c r="A464" s="35"/>
      <c r="B464" s="35"/>
      <c r="C464" s="35"/>
      <c r="D464" s="50"/>
      <c r="F464" s="51">
        <f>SUMIFS('MOVIMENTAÇÃO'!$E:$E,'MOVIMENTAÇÃO'!$C:$C,A464,'MOVIMENTAÇÃO'!$B:$B,"PERDA")</f>
        <v>0</v>
      </c>
      <c r="G464" s="51">
        <f t="shared" si="2"/>
        <v>0</v>
      </c>
      <c r="I464" s="34"/>
    </row>
    <row r="465" ht="22.5" customHeight="1">
      <c r="A465" s="35"/>
      <c r="B465" s="35"/>
      <c r="C465" s="35"/>
      <c r="D465" s="50"/>
      <c r="F465" s="51">
        <f>SUMIFS('MOVIMENTAÇÃO'!$E:$E,'MOVIMENTAÇÃO'!$C:$C,A465,'MOVIMENTAÇÃO'!$B:$B,"PERDA")</f>
        <v>0</v>
      </c>
      <c r="G465" s="51">
        <f t="shared" si="2"/>
        <v>0</v>
      </c>
      <c r="I465" s="34"/>
    </row>
    <row r="466" ht="22.5" customHeight="1">
      <c r="A466" s="35"/>
      <c r="B466" s="35"/>
      <c r="C466" s="35"/>
      <c r="D466" s="50"/>
      <c r="F466" s="51">
        <f>SUMIFS('MOVIMENTAÇÃO'!$E:$E,'MOVIMENTAÇÃO'!$C:$C,A466,'MOVIMENTAÇÃO'!$B:$B,"PERDA")</f>
        <v>0</v>
      </c>
      <c r="G466" s="51">
        <f t="shared" si="2"/>
        <v>0</v>
      </c>
      <c r="I466" s="34"/>
    </row>
    <row r="467" ht="22.5" customHeight="1">
      <c r="A467" s="35"/>
      <c r="B467" s="35"/>
      <c r="C467" s="35"/>
      <c r="D467" s="50"/>
      <c r="F467" s="51">
        <f>SUMIFS('MOVIMENTAÇÃO'!$E:$E,'MOVIMENTAÇÃO'!$C:$C,A467,'MOVIMENTAÇÃO'!$B:$B,"PERDA")</f>
        <v>0</v>
      </c>
      <c r="G467" s="51">
        <f t="shared" si="2"/>
        <v>0</v>
      </c>
      <c r="I467" s="34"/>
    </row>
    <row r="468" ht="22.5" customHeight="1">
      <c r="A468" s="35"/>
      <c r="B468" s="35"/>
      <c r="C468" s="35"/>
      <c r="D468" s="50"/>
      <c r="F468" s="51">
        <f>SUMIFS('MOVIMENTAÇÃO'!$E:$E,'MOVIMENTAÇÃO'!$C:$C,A468,'MOVIMENTAÇÃO'!$B:$B,"PERDA")</f>
        <v>0</v>
      </c>
      <c r="G468" s="51">
        <f t="shared" si="2"/>
        <v>0</v>
      </c>
      <c r="I468" s="34"/>
    </row>
    <row r="469" ht="22.5" customHeight="1">
      <c r="A469" s="35"/>
      <c r="B469" s="35"/>
      <c r="C469" s="35"/>
      <c r="D469" s="50"/>
      <c r="F469" s="51">
        <f>SUMIFS('MOVIMENTAÇÃO'!$E:$E,'MOVIMENTAÇÃO'!$C:$C,A469,'MOVIMENTAÇÃO'!$B:$B,"PERDA")</f>
        <v>0</v>
      </c>
      <c r="G469" s="51">
        <f t="shared" si="2"/>
        <v>0</v>
      </c>
      <c r="I469" s="34"/>
    </row>
    <row r="470" ht="22.5" customHeight="1">
      <c r="A470" s="35"/>
      <c r="B470" s="35"/>
      <c r="C470" s="35"/>
      <c r="D470" s="50"/>
      <c r="F470" s="51">
        <f>SUMIFS('MOVIMENTAÇÃO'!$E:$E,'MOVIMENTAÇÃO'!$C:$C,A470,'MOVIMENTAÇÃO'!$B:$B,"PERDA")</f>
        <v>0</v>
      </c>
      <c r="G470" s="51">
        <f t="shared" si="2"/>
        <v>0</v>
      </c>
      <c r="I470" s="34"/>
    </row>
    <row r="471" ht="22.5" customHeight="1">
      <c r="A471" s="35"/>
      <c r="B471" s="35"/>
      <c r="C471" s="35"/>
      <c r="D471" s="50"/>
      <c r="F471" s="51">
        <f>SUMIFS('MOVIMENTAÇÃO'!$E:$E,'MOVIMENTAÇÃO'!$C:$C,A471,'MOVIMENTAÇÃO'!$B:$B,"PERDA")</f>
        <v>0</v>
      </c>
      <c r="G471" s="51">
        <f t="shared" si="2"/>
        <v>0</v>
      </c>
      <c r="I471" s="34"/>
    </row>
    <row r="472" ht="22.5" customHeight="1">
      <c r="A472" s="35"/>
      <c r="B472" s="35"/>
      <c r="C472" s="35"/>
      <c r="D472" s="50"/>
      <c r="F472" s="51">
        <f>SUMIFS('MOVIMENTAÇÃO'!$E:$E,'MOVIMENTAÇÃO'!$C:$C,A472,'MOVIMENTAÇÃO'!$B:$B,"PERDA")</f>
        <v>0</v>
      </c>
      <c r="G472" s="51">
        <f t="shared" si="2"/>
        <v>0</v>
      </c>
      <c r="I472" s="34"/>
    </row>
    <row r="473" ht="22.5" customHeight="1">
      <c r="A473" s="35"/>
      <c r="B473" s="35"/>
      <c r="C473" s="35"/>
      <c r="D473" s="50"/>
      <c r="F473" s="51">
        <f>SUMIFS('MOVIMENTAÇÃO'!$E:$E,'MOVIMENTAÇÃO'!$C:$C,A473,'MOVIMENTAÇÃO'!$B:$B,"PERDA")</f>
        <v>0</v>
      </c>
      <c r="G473" s="51">
        <f t="shared" si="2"/>
        <v>0</v>
      </c>
      <c r="I473" s="34"/>
    </row>
    <row r="474" ht="22.5" customHeight="1">
      <c r="A474" s="35"/>
      <c r="B474" s="35"/>
      <c r="C474" s="35"/>
      <c r="D474" s="50"/>
      <c r="F474" s="51">
        <f>SUMIFS('MOVIMENTAÇÃO'!$E:$E,'MOVIMENTAÇÃO'!$C:$C,A474,'MOVIMENTAÇÃO'!$B:$B,"PERDA")</f>
        <v>0</v>
      </c>
      <c r="G474" s="51">
        <f t="shared" si="2"/>
        <v>0</v>
      </c>
      <c r="I474" s="34"/>
    </row>
    <row r="475" ht="22.5" customHeight="1">
      <c r="A475" s="35"/>
      <c r="B475" s="35"/>
      <c r="C475" s="35"/>
      <c r="D475" s="50"/>
      <c r="F475" s="51">
        <f>SUMIFS('MOVIMENTAÇÃO'!$E:$E,'MOVIMENTAÇÃO'!$C:$C,A475,'MOVIMENTAÇÃO'!$B:$B,"PERDA")</f>
        <v>0</v>
      </c>
      <c r="G475" s="51">
        <f t="shared" si="2"/>
        <v>0</v>
      </c>
      <c r="I475" s="34"/>
    </row>
    <row r="476" ht="22.5" customHeight="1">
      <c r="A476" s="35"/>
      <c r="B476" s="35"/>
      <c r="C476" s="35"/>
      <c r="D476" s="50"/>
      <c r="F476" s="51">
        <f>SUMIFS('MOVIMENTAÇÃO'!$E:$E,'MOVIMENTAÇÃO'!$C:$C,A476,'MOVIMENTAÇÃO'!$B:$B,"PERDA")</f>
        <v>0</v>
      </c>
      <c r="G476" s="51">
        <f t="shared" si="2"/>
        <v>0</v>
      </c>
      <c r="I476" s="34"/>
    </row>
    <row r="477" ht="22.5" customHeight="1">
      <c r="A477" s="35"/>
      <c r="B477" s="35"/>
      <c r="C477" s="35"/>
      <c r="D477" s="50"/>
      <c r="F477" s="51">
        <f>SUMIFS('MOVIMENTAÇÃO'!$E:$E,'MOVIMENTAÇÃO'!$C:$C,A477,'MOVIMENTAÇÃO'!$B:$B,"PERDA")</f>
        <v>0</v>
      </c>
      <c r="G477" s="51">
        <f t="shared" si="2"/>
        <v>0</v>
      </c>
      <c r="I477" s="34"/>
    </row>
    <row r="478" ht="22.5" customHeight="1">
      <c r="A478" s="35"/>
      <c r="B478" s="35"/>
      <c r="C478" s="35"/>
      <c r="D478" s="50"/>
      <c r="F478" s="51">
        <f>SUMIFS('MOVIMENTAÇÃO'!$E:$E,'MOVIMENTAÇÃO'!$C:$C,A478,'MOVIMENTAÇÃO'!$B:$B,"PERDA")</f>
        <v>0</v>
      </c>
      <c r="G478" s="51">
        <f t="shared" si="2"/>
        <v>0</v>
      </c>
      <c r="I478" s="34"/>
    </row>
    <row r="479" ht="22.5" customHeight="1">
      <c r="A479" s="35"/>
      <c r="B479" s="35"/>
      <c r="C479" s="35"/>
      <c r="D479" s="50"/>
      <c r="F479" s="51">
        <f>SUMIFS('MOVIMENTAÇÃO'!$E:$E,'MOVIMENTAÇÃO'!$C:$C,A479,'MOVIMENTAÇÃO'!$B:$B,"PERDA")</f>
        <v>0</v>
      </c>
      <c r="G479" s="51">
        <f t="shared" si="2"/>
        <v>0</v>
      </c>
      <c r="I479" s="34"/>
    </row>
    <row r="480" ht="22.5" customHeight="1">
      <c r="A480" s="35"/>
      <c r="B480" s="35"/>
      <c r="C480" s="35"/>
      <c r="D480" s="50"/>
      <c r="F480" s="51">
        <f>SUMIFS('MOVIMENTAÇÃO'!$E:$E,'MOVIMENTAÇÃO'!$C:$C,A480,'MOVIMENTAÇÃO'!$B:$B,"PERDA")</f>
        <v>0</v>
      </c>
      <c r="G480" s="51">
        <f t="shared" si="2"/>
        <v>0</v>
      </c>
      <c r="I480" s="34"/>
    </row>
    <row r="481" ht="22.5" customHeight="1">
      <c r="A481" s="35"/>
      <c r="B481" s="35"/>
      <c r="C481" s="35"/>
      <c r="D481" s="50"/>
      <c r="F481" s="51">
        <f>SUMIFS('MOVIMENTAÇÃO'!$E:$E,'MOVIMENTAÇÃO'!$C:$C,A481,'MOVIMENTAÇÃO'!$B:$B,"PERDA")</f>
        <v>0</v>
      </c>
      <c r="G481" s="51">
        <f t="shared" si="2"/>
        <v>0</v>
      </c>
      <c r="I481" s="34"/>
    </row>
    <row r="482" ht="22.5" customHeight="1">
      <c r="A482" s="35"/>
      <c r="B482" s="35"/>
      <c r="C482" s="35"/>
      <c r="D482" s="50"/>
      <c r="F482" s="51">
        <f>SUMIFS('MOVIMENTAÇÃO'!$E:$E,'MOVIMENTAÇÃO'!$C:$C,A482,'MOVIMENTAÇÃO'!$B:$B,"PERDA")</f>
        <v>0</v>
      </c>
      <c r="G482" s="51">
        <f t="shared" si="2"/>
        <v>0</v>
      </c>
      <c r="I482" s="34"/>
    </row>
    <row r="483" ht="22.5" customHeight="1">
      <c r="A483" s="35"/>
      <c r="B483" s="35"/>
      <c r="C483" s="35"/>
      <c r="D483" s="50"/>
      <c r="F483" s="51">
        <f>SUMIFS('MOVIMENTAÇÃO'!$E:$E,'MOVIMENTAÇÃO'!$C:$C,A483,'MOVIMENTAÇÃO'!$B:$B,"PERDA")</f>
        <v>0</v>
      </c>
      <c r="G483" s="51">
        <f t="shared" si="2"/>
        <v>0</v>
      </c>
      <c r="I483" s="34"/>
    </row>
    <row r="484" ht="22.5" customHeight="1">
      <c r="A484" s="35"/>
      <c r="B484" s="35"/>
      <c r="C484" s="35"/>
      <c r="D484" s="50"/>
      <c r="F484" s="51">
        <f>SUMIFS('MOVIMENTAÇÃO'!$E:$E,'MOVIMENTAÇÃO'!$C:$C,A484,'MOVIMENTAÇÃO'!$B:$B,"PERDA")</f>
        <v>0</v>
      </c>
      <c r="G484" s="51">
        <f t="shared" si="2"/>
        <v>0</v>
      </c>
      <c r="I484" s="34"/>
    </row>
    <row r="485" ht="22.5" customHeight="1">
      <c r="A485" s="35"/>
      <c r="B485" s="35"/>
      <c r="C485" s="35"/>
      <c r="D485" s="50"/>
      <c r="F485" s="51">
        <f>SUMIFS('MOVIMENTAÇÃO'!$E:$E,'MOVIMENTAÇÃO'!$C:$C,A485,'MOVIMENTAÇÃO'!$B:$B,"PERDA")</f>
        <v>0</v>
      </c>
      <c r="G485" s="51">
        <f t="shared" si="2"/>
        <v>0</v>
      </c>
      <c r="I485" s="34"/>
    </row>
    <row r="486" ht="22.5" customHeight="1">
      <c r="A486" s="35"/>
      <c r="B486" s="35"/>
      <c r="C486" s="35"/>
      <c r="D486" s="50"/>
      <c r="F486" s="51">
        <f>SUMIFS('MOVIMENTAÇÃO'!$E:$E,'MOVIMENTAÇÃO'!$C:$C,A486,'MOVIMENTAÇÃO'!$B:$B,"PERDA")</f>
        <v>0</v>
      </c>
      <c r="G486" s="51">
        <f t="shared" si="2"/>
        <v>0</v>
      </c>
      <c r="I486" s="34"/>
    </row>
    <row r="487" ht="22.5" customHeight="1">
      <c r="A487" s="35"/>
      <c r="B487" s="35"/>
      <c r="C487" s="35"/>
      <c r="D487" s="50"/>
      <c r="F487" s="51">
        <f>SUMIFS('MOVIMENTAÇÃO'!$E:$E,'MOVIMENTAÇÃO'!$C:$C,A487,'MOVIMENTAÇÃO'!$B:$B,"PERDA")</f>
        <v>0</v>
      </c>
      <c r="G487" s="51">
        <f t="shared" si="2"/>
        <v>0</v>
      </c>
      <c r="I487" s="34"/>
    </row>
    <row r="488" ht="22.5" customHeight="1">
      <c r="A488" s="35"/>
      <c r="B488" s="35"/>
      <c r="C488" s="35"/>
      <c r="D488" s="50"/>
      <c r="F488" s="51">
        <f>SUMIFS('MOVIMENTAÇÃO'!$E:$E,'MOVIMENTAÇÃO'!$C:$C,A488,'MOVIMENTAÇÃO'!$B:$B,"PERDA")</f>
        <v>0</v>
      </c>
      <c r="G488" s="51">
        <f t="shared" si="2"/>
        <v>0</v>
      </c>
      <c r="I488" s="34"/>
    </row>
    <row r="489" ht="22.5" customHeight="1">
      <c r="A489" s="35"/>
      <c r="B489" s="35"/>
      <c r="C489" s="35"/>
      <c r="D489" s="50"/>
      <c r="F489" s="51">
        <f>SUMIFS('MOVIMENTAÇÃO'!$E:$E,'MOVIMENTAÇÃO'!$C:$C,A489,'MOVIMENTAÇÃO'!$B:$B,"PERDA")</f>
        <v>0</v>
      </c>
      <c r="G489" s="51">
        <f t="shared" si="2"/>
        <v>0</v>
      </c>
      <c r="I489" s="34"/>
    </row>
    <row r="490" ht="22.5" customHeight="1">
      <c r="A490" s="35"/>
      <c r="B490" s="35"/>
      <c r="C490" s="35"/>
      <c r="D490" s="50"/>
      <c r="F490" s="51">
        <f>SUMIFS('MOVIMENTAÇÃO'!$E:$E,'MOVIMENTAÇÃO'!$C:$C,A490,'MOVIMENTAÇÃO'!$B:$B,"PERDA")</f>
        <v>0</v>
      </c>
      <c r="G490" s="51">
        <f t="shared" si="2"/>
        <v>0</v>
      </c>
      <c r="I490" s="34"/>
    </row>
    <row r="491" ht="22.5" customHeight="1">
      <c r="A491" s="35"/>
      <c r="B491" s="35"/>
      <c r="C491" s="35"/>
      <c r="D491" s="50"/>
      <c r="F491" s="51">
        <f>SUMIFS('MOVIMENTAÇÃO'!$E:$E,'MOVIMENTAÇÃO'!$C:$C,A491,'MOVIMENTAÇÃO'!$B:$B,"PERDA")</f>
        <v>0</v>
      </c>
      <c r="G491" s="51">
        <f t="shared" si="2"/>
        <v>0</v>
      </c>
      <c r="I491" s="34"/>
    </row>
    <row r="492" ht="22.5" customHeight="1">
      <c r="A492" s="35"/>
      <c r="B492" s="35"/>
      <c r="C492" s="35"/>
      <c r="D492" s="50"/>
      <c r="F492" s="51">
        <f>SUMIFS('MOVIMENTAÇÃO'!$E:$E,'MOVIMENTAÇÃO'!$C:$C,A492,'MOVIMENTAÇÃO'!$B:$B,"PERDA")</f>
        <v>0</v>
      </c>
      <c r="G492" s="51">
        <f t="shared" si="2"/>
        <v>0</v>
      </c>
      <c r="I492" s="34"/>
    </row>
    <row r="493" ht="22.5" customHeight="1">
      <c r="A493" s="35"/>
      <c r="B493" s="35"/>
      <c r="C493" s="35"/>
      <c r="D493" s="50"/>
      <c r="F493" s="51">
        <f>SUMIFS('MOVIMENTAÇÃO'!$E:$E,'MOVIMENTAÇÃO'!$C:$C,A493,'MOVIMENTAÇÃO'!$B:$B,"PERDA")</f>
        <v>0</v>
      </c>
      <c r="G493" s="51">
        <f t="shared" si="2"/>
        <v>0</v>
      </c>
      <c r="I493" s="34"/>
    </row>
    <row r="494" ht="22.5" customHeight="1">
      <c r="A494" s="35"/>
      <c r="B494" s="35"/>
      <c r="C494" s="35"/>
      <c r="D494" s="50"/>
      <c r="F494" s="51">
        <f>SUMIFS('MOVIMENTAÇÃO'!$E:$E,'MOVIMENTAÇÃO'!$C:$C,A494,'MOVIMENTAÇÃO'!$B:$B,"PERDA")</f>
        <v>0</v>
      </c>
      <c r="G494" s="51">
        <f t="shared" si="2"/>
        <v>0</v>
      </c>
      <c r="I494" s="34"/>
    </row>
    <row r="495" ht="22.5" customHeight="1">
      <c r="A495" s="35"/>
      <c r="B495" s="35"/>
      <c r="C495" s="35"/>
      <c r="D495" s="50"/>
      <c r="F495" s="51">
        <f>SUMIFS('MOVIMENTAÇÃO'!$E:$E,'MOVIMENTAÇÃO'!$C:$C,A495,'MOVIMENTAÇÃO'!$B:$B,"PERDA")</f>
        <v>0</v>
      </c>
      <c r="G495" s="51">
        <f t="shared" si="2"/>
        <v>0</v>
      </c>
      <c r="I495" s="34"/>
    </row>
    <row r="496" ht="22.5" customHeight="1">
      <c r="A496" s="35"/>
      <c r="B496" s="35"/>
      <c r="C496" s="35"/>
      <c r="D496" s="50"/>
      <c r="F496" s="51">
        <f>SUMIFS('MOVIMENTAÇÃO'!$E:$E,'MOVIMENTAÇÃO'!$C:$C,A496,'MOVIMENTAÇÃO'!$B:$B,"PERDA")</f>
        <v>0</v>
      </c>
      <c r="G496" s="51">
        <f t="shared" si="2"/>
        <v>0</v>
      </c>
      <c r="I496" s="34"/>
    </row>
    <row r="497" ht="22.5" customHeight="1">
      <c r="A497" s="35"/>
      <c r="B497" s="35"/>
      <c r="C497" s="35"/>
      <c r="D497" s="50"/>
      <c r="F497" s="51">
        <f>SUMIFS('MOVIMENTAÇÃO'!$E:$E,'MOVIMENTAÇÃO'!$C:$C,A497,'MOVIMENTAÇÃO'!$B:$B,"PERDA")</f>
        <v>0</v>
      </c>
      <c r="G497" s="51">
        <f t="shared" si="2"/>
        <v>0</v>
      </c>
      <c r="I497" s="34"/>
    </row>
    <row r="498" ht="22.5" customHeight="1">
      <c r="A498" s="35"/>
      <c r="B498" s="35"/>
      <c r="C498" s="35"/>
      <c r="D498" s="50"/>
      <c r="F498" s="51">
        <f>SUMIFS('MOVIMENTAÇÃO'!$E:$E,'MOVIMENTAÇÃO'!$C:$C,A498,'MOVIMENTAÇÃO'!$B:$B,"PERDA")</f>
        <v>0</v>
      </c>
      <c r="G498" s="51">
        <f t="shared" si="2"/>
        <v>0</v>
      </c>
      <c r="I498" s="34"/>
    </row>
    <row r="499" ht="22.5" customHeight="1">
      <c r="A499" s="35"/>
      <c r="B499" s="35"/>
      <c r="C499" s="35"/>
      <c r="D499" s="50"/>
      <c r="F499" s="51">
        <f>SUMIFS('MOVIMENTAÇÃO'!$E:$E,'MOVIMENTAÇÃO'!$C:$C,A499,'MOVIMENTAÇÃO'!$B:$B,"PERDA")</f>
        <v>0</v>
      </c>
      <c r="G499" s="51">
        <f t="shared" si="2"/>
        <v>0</v>
      </c>
      <c r="I499" s="34"/>
    </row>
    <row r="500" ht="22.5" customHeight="1">
      <c r="A500" s="35"/>
      <c r="B500" s="35"/>
      <c r="C500" s="35"/>
      <c r="D500" s="50"/>
      <c r="F500" s="51">
        <f>SUMIFS('MOVIMENTAÇÃO'!$E:$E,'MOVIMENTAÇÃO'!$C:$C,A500,'MOVIMENTAÇÃO'!$B:$B,"PERDA")</f>
        <v>0</v>
      </c>
      <c r="G500" s="51">
        <f t="shared" si="2"/>
        <v>0</v>
      </c>
      <c r="I500" s="34"/>
    </row>
    <row r="501" ht="22.5" customHeight="1">
      <c r="A501" s="35"/>
      <c r="B501" s="35"/>
      <c r="C501" s="35"/>
      <c r="D501" s="50"/>
      <c r="F501" s="51">
        <f>SUMIFS('MOVIMENTAÇÃO'!$E:$E,'MOVIMENTAÇÃO'!$C:$C,A501,'MOVIMENTAÇÃO'!$B:$B,"PERDA")</f>
        <v>0</v>
      </c>
      <c r="G501" s="51">
        <f t="shared" si="2"/>
        <v>0</v>
      </c>
      <c r="I501" s="34"/>
    </row>
    <row r="502" ht="22.5" customHeight="1">
      <c r="A502" s="35"/>
      <c r="B502" s="35"/>
      <c r="C502" s="35"/>
      <c r="D502" s="50"/>
      <c r="F502" s="51">
        <f>SUMIFS('MOVIMENTAÇÃO'!$E:$E,'MOVIMENTAÇÃO'!$C:$C,A502,'MOVIMENTAÇÃO'!$B:$B,"PERDA")</f>
        <v>0</v>
      </c>
      <c r="G502" s="51">
        <f t="shared" si="2"/>
        <v>0</v>
      </c>
      <c r="I502" s="34"/>
    </row>
    <row r="503" ht="22.5" customHeight="1">
      <c r="A503" s="35"/>
      <c r="B503" s="35"/>
      <c r="C503" s="35"/>
      <c r="D503" s="50"/>
      <c r="F503" s="51">
        <f>SUMIFS('MOVIMENTAÇÃO'!$E:$E,'MOVIMENTAÇÃO'!$C:$C,A503,'MOVIMENTAÇÃO'!$B:$B,"PERDA")</f>
        <v>0</v>
      </c>
      <c r="G503" s="51">
        <f t="shared" si="2"/>
        <v>0</v>
      </c>
      <c r="I503" s="34"/>
    </row>
    <row r="504" ht="22.5" customHeight="1">
      <c r="A504" s="35"/>
      <c r="B504" s="35"/>
      <c r="C504" s="35"/>
      <c r="D504" s="50"/>
      <c r="F504" s="51">
        <f>SUMIFS('MOVIMENTAÇÃO'!$E:$E,'MOVIMENTAÇÃO'!$C:$C,A504,'MOVIMENTAÇÃO'!$B:$B,"PERDA")</f>
        <v>0</v>
      </c>
      <c r="G504" s="51">
        <f t="shared" si="2"/>
        <v>0</v>
      </c>
      <c r="I504" s="34"/>
    </row>
    <row r="505" ht="22.5" customHeight="1">
      <c r="A505" s="35"/>
      <c r="B505" s="35"/>
      <c r="C505" s="35"/>
      <c r="D505" s="50"/>
      <c r="F505" s="51">
        <f>SUMIFS('MOVIMENTAÇÃO'!$E:$E,'MOVIMENTAÇÃO'!$C:$C,A505,'MOVIMENTAÇÃO'!$B:$B,"PERDA")</f>
        <v>0</v>
      </c>
      <c r="G505" s="51">
        <f t="shared" si="2"/>
        <v>0</v>
      </c>
      <c r="I505" s="34"/>
    </row>
    <row r="506" ht="22.5" customHeight="1">
      <c r="A506" s="35"/>
      <c r="B506" s="35"/>
      <c r="C506" s="35"/>
      <c r="D506" s="50"/>
      <c r="F506" s="51">
        <f>SUMIFS('MOVIMENTAÇÃO'!$E:$E,'MOVIMENTAÇÃO'!$C:$C,A506,'MOVIMENTAÇÃO'!$B:$B,"PERDA")</f>
        <v>0</v>
      </c>
      <c r="G506" s="51">
        <f t="shared" si="2"/>
        <v>0</v>
      </c>
      <c r="I506" s="34"/>
    </row>
    <row r="507" ht="22.5" customHeight="1">
      <c r="A507" s="35"/>
      <c r="B507" s="35"/>
      <c r="C507" s="35"/>
      <c r="D507" s="50"/>
      <c r="F507" s="51">
        <f>SUMIFS('MOVIMENTAÇÃO'!$E:$E,'MOVIMENTAÇÃO'!$C:$C,A507,'MOVIMENTAÇÃO'!$B:$B,"PERDA")</f>
        <v>0</v>
      </c>
      <c r="G507" s="51">
        <f t="shared" si="2"/>
        <v>0</v>
      </c>
      <c r="I507" s="34"/>
    </row>
    <row r="508" ht="22.5" customHeight="1">
      <c r="A508" s="35"/>
      <c r="B508" s="35"/>
      <c r="C508" s="35"/>
      <c r="D508" s="50"/>
      <c r="F508" s="51">
        <f>SUMIFS('MOVIMENTAÇÃO'!$E:$E,'MOVIMENTAÇÃO'!$C:$C,A508,'MOVIMENTAÇÃO'!$B:$B,"PERDA")</f>
        <v>0</v>
      </c>
      <c r="G508" s="51">
        <f t="shared" si="2"/>
        <v>0</v>
      </c>
      <c r="I508" s="34"/>
    </row>
    <row r="509" ht="22.5" customHeight="1">
      <c r="A509" s="35"/>
      <c r="B509" s="35"/>
      <c r="C509" s="35"/>
      <c r="D509" s="50"/>
      <c r="F509" s="51">
        <f>SUMIFS('MOVIMENTAÇÃO'!$E:$E,'MOVIMENTAÇÃO'!$C:$C,A509,'MOVIMENTAÇÃO'!$B:$B,"PERDA")</f>
        <v>0</v>
      </c>
      <c r="G509" s="51">
        <f t="shared" si="2"/>
        <v>0</v>
      </c>
      <c r="I509" s="34"/>
    </row>
    <row r="510" ht="22.5" customHeight="1">
      <c r="A510" s="35"/>
      <c r="B510" s="35"/>
      <c r="C510" s="35"/>
      <c r="D510" s="50"/>
      <c r="F510" s="51">
        <f>SUMIFS('MOVIMENTAÇÃO'!$E:$E,'MOVIMENTAÇÃO'!$C:$C,A510,'MOVIMENTAÇÃO'!$B:$B,"PERDA")</f>
        <v>0</v>
      </c>
      <c r="G510" s="51">
        <f t="shared" si="2"/>
        <v>0</v>
      </c>
      <c r="I510" s="34"/>
    </row>
    <row r="511" ht="22.5" customHeight="1">
      <c r="A511" s="35"/>
      <c r="B511" s="35"/>
      <c r="C511" s="35"/>
      <c r="D511" s="50"/>
      <c r="F511" s="51">
        <f>SUMIFS('MOVIMENTAÇÃO'!$E:$E,'MOVIMENTAÇÃO'!$C:$C,A511,'MOVIMENTAÇÃO'!$B:$B,"PERDA")</f>
        <v>0</v>
      </c>
      <c r="G511" s="51">
        <f t="shared" si="2"/>
        <v>0</v>
      </c>
      <c r="I511" s="34"/>
    </row>
    <row r="512" ht="22.5" customHeight="1">
      <c r="A512" s="35"/>
      <c r="B512" s="35"/>
      <c r="C512" s="35"/>
      <c r="D512" s="50"/>
      <c r="F512" s="51">
        <f>SUMIFS('MOVIMENTAÇÃO'!$E:$E,'MOVIMENTAÇÃO'!$C:$C,A512,'MOVIMENTAÇÃO'!$B:$B,"PERDA")</f>
        <v>0</v>
      </c>
      <c r="G512" s="51">
        <f t="shared" si="2"/>
        <v>0</v>
      </c>
      <c r="I512" s="34"/>
    </row>
    <row r="513" ht="22.5" customHeight="1">
      <c r="A513" s="35"/>
      <c r="B513" s="35"/>
      <c r="C513" s="35"/>
      <c r="D513" s="50"/>
      <c r="F513" s="51">
        <f>SUMIFS('MOVIMENTAÇÃO'!$E:$E,'MOVIMENTAÇÃO'!$C:$C,A513,'MOVIMENTAÇÃO'!$B:$B,"PERDA")</f>
        <v>0</v>
      </c>
      <c r="G513" s="51">
        <f t="shared" si="2"/>
        <v>0</v>
      </c>
      <c r="I513" s="34"/>
    </row>
    <row r="514" ht="22.5" customHeight="1">
      <c r="A514" s="35"/>
      <c r="B514" s="35"/>
      <c r="C514" s="35"/>
      <c r="D514" s="50"/>
      <c r="F514" s="51">
        <f>SUMIFS('MOVIMENTAÇÃO'!$E:$E,'MOVIMENTAÇÃO'!$C:$C,A514,'MOVIMENTAÇÃO'!$B:$B,"PERDA")</f>
        <v>0</v>
      </c>
      <c r="G514" s="51">
        <f t="shared" si="2"/>
        <v>0</v>
      </c>
      <c r="I514" s="34"/>
    </row>
    <row r="515" ht="22.5" customHeight="1">
      <c r="A515" s="35"/>
      <c r="B515" s="35"/>
      <c r="C515" s="35"/>
      <c r="D515" s="50"/>
      <c r="F515" s="51">
        <f>SUMIFS('MOVIMENTAÇÃO'!$E:$E,'MOVIMENTAÇÃO'!$C:$C,A515,'MOVIMENTAÇÃO'!$B:$B,"PERDA")</f>
        <v>0</v>
      </c>
      <c r="G515" s="51">
        <f t="shared" si="2"/>
        <v>0</v>
      </c>
      <c r="I515" s="34"/>
    </row>
    <row r="516" ht="22.5" customHeight="1">
      <c r="A516" s="35"/>
      <c r="B516" s="35"/>
      <c r="C516" s="35"/>
      <c r="D516" s="50"/>
      <c r="F516" s="51">
        <f>SUMIFS('MOVIMENTAÇÃO'!$E:$E,'MOVIMENTAÇÃO'!$C:$C,A516,'MOVIMENTAÇÃO'!$B:$B,"PERDA")</f>
        <v>0</v>
      </c>
      <c r="G516" s="51">
        <f t="shared" si="2"/>
        <v>0</v>
      </c>
      <c r="I516" s="34"/>
    </row>
    <row r="517" ht="22.5" customHeight="1">
      <c r="A517" s="35"/>
      <c r="B517" s="35"/>
      <c r="C517" s="35"/>
      <c r="D517" s="50"/>
      <c r="F517" s="51">
        <f>SUMIFS('MOVIMENTAÇÃO'!$E:$E,'MOVIMENTAÇÃO'!$C:$C,A517,'MOVIMENTAÇÃO'!$B:$B,"PERDA")</f>
        <v>0</v>
      </c>
      <c r="G517" s="51">
        <f t="shared" si="2"/>
        <v>0</v>
      </c>
      <c r="I517" s="34"/>
    </row>
    <row r="518" ht="22.5" customHeight="1">
      <c r="A518" s="35"/>
      <c r="B518" s="35"/>
      <c r="C518" s="35"/>
      <c r="D518" s="50"/>
      <c r="F518" s="51">
        <f>SUMIFS('MOVIMENTAÇÃO'!$E:$E,'MOVIMENTAÇÃO'!$C:$C,A518,'MOVIMENTAÇÃO'!$B:$B,"PERDA")</f>
        <v>0</v>
      </c>
      <c r="G518" s="51">
        <f t="shared" si="2"/>
        <v>0</v>
      </c>
      <c r="I518" s="34"/>
    </row>
    <row r="519" ht="22.5" customHeight="1">
      <c r="A519" s="35"/>
      <c r="B519" s="35"/>
      <c r="C519" s="35"/>
      <c r="D519" s="50"/>
      <c r="F519" s="51">
        <f>SUMIFS('MOVIMENTAÇÃO'!$E:$E,'MOVIMENTAÇÃO'!$C:$C,A519,'MOVIMENTAÇÃO'!$B:$B,"PERDA")</f>
        <v>0</v>
      </c>
      <c r="G519" s="51">
        <f t="shared" si="2"/>
        <v>0</v>
      </c>
      <c r="I519" s="34"/>
    </row>
    <row r="520" ht="22.5" customHeight="1">
      <c r="A520" s="35"/>
      <c r="B520" s="35"/>
      <c r="C520" s="35"/>
      <c r="D520" s="50"/>
      <c r="F520" s="51">
        <f>SUMIFS('MOVIMENTAÇÃO'!$E:$E,'MOVIMENTAÇÃO'!$C:$C,A520,'MOVIMENTAÇÃO'!$B:$B,"PERDA")</f>
        <v>0</v>
      </c>
      <c r="G520" s="51">
        <f t="shared" si="2"/>
        <v>0</v>
      </c>
      <c r="I520" s="34"/>
    </row>
    <row r="521" ht="22.5" customHeight="1">
      <c r="A521" s="35"/>
      <c r="B521" s="35"/>
      <c r="C521" s="35"/>
      <c r="D521" s="50"/>
      <c r="F521" s="51">
        <f>SUMIFS('MOVIMENTAÇÃO'!$E:$E,'MOVIMENTAÇÃO'!$C:$C,A521,'MOVIMENTAÇÃO'!$B:$B,"PERDA")</f>
        <v>0</v>
      </c>
      <c r="G521" s="51">
        <f t="shared" si="2"/>
        <v>0</v>
      </c>
      <c r="I521" s="34"/>
    </row>
    <row r="522" ht="22.5" customHeight="1">
      <c r="A522" s="35"/>
      <c r="B522" s="35"/>
      <c r="C522" s="35"/>
      <c r="D522" s="50"/>
      <c r="F522" s="51">
        <f>SUMIFS('MOVIMENTAÇÃO'!$E:$E,'MOVIMENTAÇÃO'!$C:$C,A522,'MOVIMENTAÇÃO'!$B:$B,"PERDA")</f>
        <v>0</v>
      </c>
      <c r="G522" s="51">
        <f t="shared" si="2"/>
        <v>0</v>
      </c>
      <c r="I522" s="34"/>
    </row>
    <row r="523" ht="22.5" customHeight="1">
      <c r="A523" s="35"/>
      <c r="B523" s="35"/>
      <c r="C523" s="35"/>
      <c r="D523" s="50"/>
      <c r="F523" s="51">
        <f>SUMIFS('MOVIMENTAÇÃO'!$E:$E,'MOVIMENTAÇÃO'!$C:$C,A523,'MOVIMENTAÇÃO'!$B:$B,"PERDA")</f>
        <v>0</v>
      </c>
      <c r="G523" s="51">
        <f t="shared" si="2"/>
        <v>0</v>
      </c>
      <c r="I523" s="34"/>
    </row>
    <row r="524" ht="22.5" customHeight="1">
      <c r="A524" s="35"/>
      <c r="B524" s="35"/>
      <c r="C524" s="35"/>
      <c r="D524" s="50"/>
      <c r="F524" s="51">
        <f>SUMIFS('MOVIMENTAÇÃO'!$E:$E,'MOVIMENTAÇÃO'!$C:$C,A524,'MOVIMENTAÇÃO'!$B:$B,"PERDA")</f>
        <v>0</v>
      </c>
      <c r="G524" s="51">
        <f t="shared" si="2"/>
        <v>0</v>
      </c>
      <c r="I524" s="34"/>
    </row>
    <row r="525" ht="22.5" customHeight="1">
      <c r="A525" s="35"/>
      <c r="B525" s="35"/>
      <c r="C525" s="35"/>
      <c r="D525" s="50"/>
      <c r="F525" s="51">
        <f>SUMIFS('MOVIMENTAÇÃO'!$E:$E,'MOVIMENTAÇÃO'!$C:$C,A525,'MOVIMENTAÇÃO'!$B:$B,"PERDA")</f>
        <v>0</v>
      </c>
      <c r="G525" s="51">
        <f t="shared" si="2"/>
        <v>0</v>
      </c>
      <c r="I525" s="34"/>
    </row>
    <row r="526" ht="22.5" customHeight="1">
      <c r="A526" s="35"/>
      <c r="B526" s="35"/>
      <c r="C526" s="35"/>
      <c r="D526" s="50"/>
      <c r="F526" s="51">
        <f>SUMIFS('MOVIMENTAÇÃO'!$E:$E,'MOVIMENTAÇÃO'!$C:$C,A526,'MOVIMENTAÇÃO'!$B:$B,"PERDA")</f>
        <v>0</v>
      </c>
      <c r="G526" s="51">
        <f t="shared" si="2"/>
        <v>0</v>
      </c>
      <c r="I526" s="34"/>
    </row>
    <row r="527" ht="22.5" customHeight="1">
      <c r="A527" s="35"/>
      <c r="B527" s="35"/>
      <c r="C527" s="35"/>
      <c r="D527" s="50"/>
      <c r="F527" s="51">
        <f>SUMIFS('MOVIMENTAÇÃO'!$E:$E,'MOVIMENTAÇÃO'!$C:$C,A527,'MOVIMENTAÇÃO'!$B:$B,"PERDA")</f>
        <v>0</v>
      </c>
      <c r="G527" s="51">
        <f t="shared" si="2"/>
        <v>0</v>
      </c>
      <c r="I527" s="34"/>
    </row>
    <row r="528" ht="22.5" customHeight="1">
      <c r="A528" s="35"/>
      <c r="B528" s="35"/>
      <c r="C528" s="35"/>
      <c r="D528" s="50"/>
      <c r="F528" s="51">
        <f>SUMIFS('MOVIMENTAÇÃO'!$E:$E,'MOVIMENTAÇÃO'!$C:$C,A528,'MOVIMENTAÇÃO'!$B:$B,"PERDA")</f>
        <v>0</v>
      </c>
      <c r="G528" s="51">
        <f t="shared" si="2"/>
        <v>0</v>
      </c>
      <c r="I528" s="34"/>
    </row>
    <row r="529" ht="22.5" customHeight="1">
      <c r="A529" s="35"/>
      <c r="B529" s="35"/>
      <c r="C529" s="35"/>
      <c r="D529" s="50"/>
      <c r="F529" s="51">
        <f>SUMIFS('MOVIMENTAÇÃO'!$E:$E,'MOVIMENTAÇÃO'!$C:$C,A529,'MOVIMENTAÇÃO'!$B:$B,"PERDA")</f>
        <v>0</v>
      </c>
      <c r="G529" s="51">
        <f t="shared" si="2"/>
        <v>0</v>
      </c>
      <c r="I529" s="34"/>
    </row>
    <row r="530" ht="22.5" customHeight="1">
      <c r="A530" s="35"/>
      <c r="B530" s="35"/>
      <c r="C530" s="35"/>
      <c r="D530" s="50"/>
      <c r="F530" s="51">
        <f>SUMIFS('MOVIMENTAÇÃO'!$E:$E,'MOVIMENTAÇÃO'!$C:$C,A530,'MOVIMENTAÇÃO'!$B:$B,"PERDA")</f>
        <v>0</v>
      </c>
      <c r="G530" s="51">
        <f t="shared" si="2"/>
        <v>0</v>
      </c>
      <c r="I530" s="34"/>
    </row>
    <row r="531" ht="22.5" customHeight="1">
      <c r="A531" s="35"/>
      <c r="B531" s="35"/>
      <c r="C531" s="35"/>
      <c r="D531" s="50"/>
      <c r="F531" s="51">
        <f>SUMIFS('MOVIMENTAÇÃO'!$E:$E,'MOVIMENTAÇÃO'!$C:$C,A531,'MOVIMENTAÇÃO'!$B:$B,"PERDA")</f>
        <v>0</v>
      </c>
      <c r="G531" s="51">
        <f t="shared" si="2"/>
        <v>0</v>
      </c>
      <c r="I531" s="34"/>
    </row>
    <row r="532" ht="22.5" customHeight="1">
      <c r="A532" s="35"/>
      <c r="B532" s="35"/>
      <c r="C532" s="35"/>
      <c r="D532" s="50"/>
      <c r="F532" s="51">
        <f>SUMIFS('MOVIMENTAÇÃO'!$E:$E,'MOVIMENTAÇÃO'!$C:$C,A532,'MOVIMENTAÇÃO'!$B:$B,"PERDA")</f>
        <v>0</v>
      </c>
      <c r="G532" s="51">
        <f t="shared" si="2"/>
        <v>0</v>
      </c>
      <c r="I532" s="34"/>
    </row>
    <row r="533" ht="22.5" customHeight="1">
      <c r="A533" s="35"/>
      <c r="B533" s="35"/>
      <c r="C533" s="35"/>
      <c r="D533" s="50"/>
      <c r="F533" s="51">
        <f>SUMIFS('MOVIMENTAÇÃO'!$E:$E,'MOVIMENTAÇÃO'!$C:$C,A533,'MOVIMENTAÇÃO'!$B:$B,"PERDA")</f>
        <v>0</v>
      </c>
      <c r="G533" s="51">
        <f t="shared" si="2"/>
        <v>0</v>
      </c>
      <c r="I533" s="34"/>
    </row>
    <row r="534" ht="22.5" customHeight="1">
      <c r="A534" s="35"/>
      <c r="B534" s="35"/>
      <c r="C534" s="35"/>
      <c r="D534" s="50"/>
      <c r="F534" s="51">
        <f>SUMIFS('MOVIMENTAÇÃO'!$E:$E,'MOVIMENTAÇÃO'!$C:$C,A534,'MOVIMENTAÇÃO'!$B:$B,"PERDA")</f>
        <v>0</v>
      </c>
      <c r="G534" s="51">
        <f t="shared" si="2"/>
        <v>0</v>
      </c>
      <c r="I534" s="34"/>
    </row>
    <row r="535" ht="22.5" customHeight="1">
      <c r="A535" s="35"/>
      <c r="B535" s="35"/>
      <c r="C535" s="35"/>
      <c r="D535" s="50"/>
      <c r="F535" s="51">
        <f>SUMIFS('MOVIMENTAÇÃO'!$E:$E,'MOVIMENTAÇÃO'!$C:$C,A535,'MOVIMENTAÇÃO'!$B:$B,"PERDA")</f>
        <v>0</v>
      </c>
      <c r="G535" s="51">
        <f t="shared" si="2"/>
        <v>0</v>
      </c>
      <c r="I535" s="34"/>
    </row>
    <row r="536" ht="22.5" customHeight="1">
      <c r="A536" s="35"/>
      <c r="B536" s="35"/>
      <c r="C536" s="35"/>
      <c r="D536" s="50"/>
      <c r="F536" s="51">
        <f>SUMIFS('MOVIMENTAÇÃO'!$E:$E,'MOVIMENTAÇÃO'!$C:$C,A536,'MOVIMENTAÇÃO'!$B:$B,"PERDA")</f>
        <v>0</v>
      </c>
      <c r="G536" s="51">
        <f t="shared" si="2"/>
        <v>0</v>
      </c>
      <c r="I536" s="34"/>
    </row>
    <row r="537" ht="22.5" customHeight="1">
      <c r="A537" s="35"/>
      <c r="B537" s="35"/>
      <c r="C537" s="35"/>
      <c r="D537" s="50"/>
      <c r="F537" s="51">
        <f>SUMIFS('MOVIMENTAÇÃO'!$E:$E,'MOVIMENTAÇÃO'!$C:$C,A537,'MOVIMENTAÇÃO'!$B:$B,"PERDA")</f>
        <v>0</v>
      </c>
      <c r="G537" s="51">
        <f t="shared" si="2"/>
        <v>0</v>
      </c>
      <c r="I537" s="34"/>
    </row>
    <row r="538" ht="22.5" customHeight="1">
      <c r="A538" s="35"/>
      <c r="B538" s="35"/>
      <c r="C538" s="35"/>
      <c r="D538" s="50"/>
      <c r="F538" s="51">
        <f>SUMIFS('MOVIMENTAÇÃO'!$E:$E,'MOVIMENTAÇÃO'!$C:$C,A538,'MOVIMENTAÇÃO'!$B:$B,"PERDA")</f>
        <v>0</v>
      </c>
      <c r="G538" s="51">
        <f t="shared" si="2"/>
        <v>0</v>
      </c>
      <c r="I538" s="34"/>
    </row>
    <row r="539" ht="22.5" customHeight="1">
      <c r="A539" s="35"/>
      <c r="B539" s="35"/>
      <c r="C539" s="35"/>
      <c r="D539" s="50"/>
      <c r="F539" s="51">
        <f>SUMIFS('MOVIMENTAÇÃO'!$E:$E,'MOVIMENTAÇÃO'!$C:$C,A539,'MOVIMENTAÇÃO'!$B:$B,"PERDA")</f>
        <v>0</v>
      </c>
      <c r="G539" s="51">
        <f t="shared" si="2"/>
        <v>0</v>
      </c>
      <c r="I539" s="34"/>
    </row>
    <row r="540" ht="22.5" customHeight="1">
      <c r="A540" s="35"/>
      <c r="B540" s="35"/>
      <c r="C540" s="35"/>
      <c r="D540" s="50"/>
      <c r="F540" s="51">
        <f>SUMIFS('MOVIMENTAÇÃO'!$E:$E,'MOVIMENTAÇÃO'!$C:$C,A540,'MOVIMENTAÇÃO'!$B:$B,"PERDA")</f>
        <v>0</v>
      </c>
      <c r="G540" s="51">
        <f t="shared" si="2"/>
        <v>0</v>
      </c>
      <c r="I540" s="34"/>
    </row>
    <row r="541" ht="22.5" customHeight="1">
      <c r="A541" s="35"/>
      <c r="B541" s="35"/>
      <c r="C541" s="35"/>
      <c r="D541" s="50"/>
      <c r="F541" s="51">
        <f>SUMIFS('MOVIMENTAÇÃO'!$E:$E,'MOVIMENTAÇÃO'!$C:$C,A541,'MOVIMENTAÇÃO'!$B:$B,"PERDA")</f>
        <v>0</v>
      </c>
      <c r="G541" s="51">
        <f t="shared" si="2"/>
        <v>0</v>
      </c>
      <c r="I541" s="34"/>
    </row>
    <row r="542" ht="22.5" customHeight="1">
      <c r="A542" s="35"/>
      <c r="B542" s="35"/>
      <c r="C542" s="35"/>
      <c r="D542" s="50"/>
      <c r="F542" s="51">
        <f>SUMIFS('MOVIMENTAÇÃO'!$E:$E,'MOVIMENTAÇÃO'!$C:$C,A542,'MOVIMENTAÇÃO'!$B:$B,"PERDA")</f>
        <v>0</v>
      </c>
      <c r="G542" s="51">
        <f t="shared" si="2"/>
        <v>0</v>
      </c>
      <c r="I542" s="34"/>
    </row>
    <row r="543" ht="22.5" customHeight="1">
      <c r="A543" s="35"/>
      <c r="B543" s="35"/>
      <c r="C543" s="35"/>
      <c r="D543" s="50"/>
      <c r="F543" s="51">
        <f>SUMIFS('MOVIMENTAÇÃO'!$E:$E,'MOVIMENTAÇÃO'!$C:$C,A543,'MOVIMENTAÇÃO'!$B:$B,"PERDA")</f>
        <v>0</v>
      </c>
      <c r="G543" s="51">
        <f t="shared" si="2"/>
        <v>0</v>
      </c>
      <c r="I543" s="34"/>
    </row>
    <row r="544" ht="22.5" customHeight="1">
      <c r="A544" s="35"/>
      <c r="B544" s="35"/>
      <c r="C544" s="35"/>
      <c r="D544" s="50"/>
      <c r="F544" s="51">
        <f>SUMIFS('MOVIMENTAÇÃO'!$E:$E,'MOVIMENTAÇÃO'!$C:$C,A544,'MOVIMENTAÇÃO'!$B:$B,"PERDA")</f>
        <v>0</v>
      </c>
      <c r="G544" s="51">
        <f t="shared" si="2"/>
        <v>0</v>
      </c>
      <c r="I544" s="34"/>
    </row>
    <row r="545" ht="22.5" customHeight="1">
      <c r="A545" s="35"/>
      <c r="B545" s="35"/>
      <c r="C545" s="35"/>
      <c r="D545" s="50"/>
      <c r="F545" s="51">
        <f>SUMIFS('MOVIMENTAÇÃO'!$E:$E,'MOVIMENTAÇÃO'!$C:$C,A545,'MOVIMENTAÇÃO'!$B:$B,"PERDA")</f>
        <v>0</v>
      </c>
      <c r="G545" s="51">
        <f t="shared" si="2"/>
        <v>0</v>
      </c>
      <c r="I545" s="34"/>
    </row>
    <row r="546" ht="22.5" customHeight="1">
      <c r="A546" s="35"/>
      <c r="B546" s="35"/>
      <c r="C546" s="35"/>
      <c r="D546" s="50"/>
      <c r="F546" s="51">
        <f>SUMIFS('MOVIMENTAÇÃO'!$E:$E,'MOVIMENTAÇÃO'!$C:$C,A546,'MOVIMENTAÇÃO'!$B:$B,"PERDA")</f>
        <v>0</v>
      </c>
      <c r="G546" s="51">
        <f t="shared" si="2"/>
        <v>0</v>
      </c>
      <c r="I546" s="34"/>
    </row>
    <row r="547" ht="22.5" customHeight="1">
      <c r="A547" s="35"/>
      <c r="B547" s="35"/>
      <c r="C547" s="35"/>
      <c r="D547" s="50"/>
      <c r="F547" s="51">
        <f>SUMIFS('MOVIMENTAÇÃO'!$E:$E,'MOVIMENTAÇÃO'!$C:$C,A547,'MOVIMENTAÇÃO'!$B:$B,"PERDA")</f>
        <v>0</v>
      </c>
      <c r="G547" s="51">
        <f t="shared" si="2"/>
        <v>0</v>
      </c>
      <c r="I547" s="34"/>
    </row>
    <row r="548" ht="22.5" customHeight="1">
      <c r="A548" s="35"/>
      <c r="B548" s="35"/>
      <c r="C548" s="35"/>
      <c r="D548" s="50"/>
      <c r="F548" s="51">
        <f>SUMIFS('MOVIMENTAÇÃO'!$E:$E,'MOVIMENTAÇÃO'!$C:$C,A548,'MOVIMENTAÇÃO'!$B:$B,"PERDA")</f>
        <v>0</v>
      </c>
      <c r="G548" s="51">
        <f t="shared" si="2"/>
        <v>0</v>
      </c>
      <c r="I548" s="34"/>
    </row>
    <row r="549" ht="22.5" customHeight="1">
      <c r="A549" s="35"/>
      <c r="B549" s="35"/>
      <c r="C549" s="35"/>
      <c r="D549" s="50"/>
      <c r="F549" s="51">
        <f>SUMIFS('MOVIMENTAÇÃO'!$E:$E,'MOVIMENTAÇÃO'!$C:$C,A549,'MOVIMENTAÇÃO'!$B:$B,"PERDA")</f>
        <v>0</v>
      </c>
      <c r="G549" s="51">
        <f t="shared" si="2"/>
        <v>0</v>
      </c>
      <c r="I549" s="34"/>
    </row>
    <row r="550" ht="22.5" customHeight="1">
      <c r="A550" s="35"/>
      <c r="B550" s="35"/>
      <c r="C550" s="35"/>
      <c r="D550" s="50"/>
      <c r="F550" s="51">
        <f>SUMIFS('MOVIMENTAÇÃO'!$E:$E,'MOVIMENTAÇÃO'!$C:$C,A550,'MOVIMENTAÇÃO'!$B:$B,"PERDA")</f>
        <v>0</v>
      </c>
      <c r="G550" s="51">
        <f t="shared" si="2"/>
        <v>0</v>
      </c>
      <c r="I550" s="34"/>
    </row>
    <row r="551" ht="22.5" customHeight="1">
      <c r="A551" s="35"/>
      <c r="B551" s="35"/>
      <c r="C551" s="35"/>
      <c r="D551" s="50"/>
      <c r="F551" s="51">
        <f>SUMIFS('MOVIMENTAÇÃO'!$E:$E,'MOVIMENTAÇÃO'!$C:$C,A551,'MOVIMENTAÇÃO'!$B:$B,"PERDA")</f>
        <v>0</v>
      </c>
      <c r="G551" s="51">
        <f t="shared" si="2"/>
        <v>0</v>
      </c>
      <c r="I551" s="34"/>
    </row>
    <row r="552" ht="22.5" customHeight="1">
      <c r="A552" s="35"/>
      <c r="B552" s="35"/>
      <c r="C552" s="35"/>
      <c r="D552" s="50"/>
      <c r="F552" s="51">
        <f>SUMIFS('MOVIMENTAÇÃO'!$E:$E,'MOVIMENTAÇÃO'!$C:$C,A552,'MOVIMENTAÇÃO'!$B:$B,"PERDA")</f>
        <v>0</v>
      </c>
      <c r="G552" s="51">
        <f t="shared" si="2"/>
        <v>0</v>
      </c>
      <c r="I552" s="34"/>
    </row>
    <row r="553" ht="22.5" customHeight="1">
      <c r="A553" s="35"/>
      <c r="B553" s="35"/>
      <c r="C553" s="35"/>
      <c r="D553" s="50"/>
      <c r="F553" s="51">
        <f>SUMIFS('MOVIMENTAÇÃO'!$E:$E,'MOVIMENTAÇÃO'!$C:$C,A553,'MOVIMENTAÇÃO'!$B:$B,"PERDA")</f>
        <v>0</v>
      </c>
      <c r="G553" s="51">
        <f t="shared" si="2"/>
        <v>0</v>
      </c>
      <c r="I553" s="34"/>
    </row>
    <row r="554" ht="22.5" customHeight="1">
      <c r="A554" s="35"/>
      <c r="B554" s="35"/>
      <c r="C554" s="35"/>
      <c r="D554" s="50"/>
      <c r="F554" s="51">
        <f>SUMIFS('MOVIMENTAÇÃO'!$E:$E,'MOVIMENTAÇÃO'!$C:$C,A554,'MOVIMENTAÇÃO'!$B:$B,"PERDA")</f>
        <v>0</v>
      </c>
      <c r="G554" s="51">
        <f t="shared" si="2"/>
        <v>0</v>
      </c>
      <c r="I554" s="34"/>
    </row>
    <row r="555" ht="22.5" customHeight="1">
      <c r="A555" s="35"/>
      <c r="B555" s="35"/>
      <c r="C555" s="35"/>
      <c r="D555" s="50"/>
      <c r="F555" s="51">
        <f>SUMIFS('MOVIMENTAÇÃO'!$E:$E,'MOVIMENTAÇÃO'!$C:$C,A555,'MOVIMENTAÇÃO'!$B:$B,"PERDA")</f>
        <v>0</v>
      </c>
      <c r="G555" s="51">
        <f t="shared" si="2"/>
        <v>0</v>
      </c>
      <c r="I555" s="34"/>
    </row>
    <row r="556" ht="22.5" customHeight="1">
      <c r="A556" s="35"/>
      <c r="B556" s="35"/>
      <c r="C556" s="35"/>
      <c r="D556" s="50"/>
      <c r="F556" s="51">
        <f>SUMIFS('MOVIMENTAÇÃO'!$E:$E,'MOVIMENTAÇÃO'!$C:$C,A556,'MOVIMENTAÇÃO'!$B:$B,"PERDA")</f>
        <v>0</v>
      </c>
      <c r="G556" s="51">
        <f t="shared" si="2"/>
        <v>0</v>
      </c>
      <c r="I556" s="34"/>
    </row>
    <row r="557" ht="22.5" customHeight="1">
      <c r="A557" s="35"/>
      <c r="B557" s="35"/>
      <c r="C557" s="35"/>
      <c r="D557" s="50"/>
      <c r="F557" s="51">
        <f>SUMIFS('MOVIMENTAÇÃO'!$E:$E,'MOVIMENTAÇÃO'!$C:$C,A557,'MOVIMENTAÇÃO'!$B:$B,"PERDA")</f>
        <v>0</v>
      </c>
      <c r="G557" s="51">
        <f t="shared" si="2"/>
        <v>0</v>
      </c>
      <c r="I557" s="34"/>
    </row>
    <row r="558" ht="22.5" customHeight="1">
      <c r="A558" s="35"/>
      <c r="B558" s="35"/>
      <c r="C558" s="35"/>
      <c r="D558" s="50"/>
      <c r="F558" s="51">
        <f>SUMIFS('MOVIMENTAÇÃO'!$E:$E,'MOVIMENTAÇÃO'!$C:$C,A558,'MOVIMENTAÇÃO'!$B:$B,"PERDA")</f>
        <v>0</v>
      </c>
      <c r="G558" s="51">
        <f t="shared" si="2"/>
        <v>0</v>
      </c>
      <c r="I558" s="34"/>
    </row>
    <row r="559" ht="22.5" customHeight="1">
      <c r="A559" s="35"/>
      <c r="B559" s="35"/>
      <c r="C559" s="35"/>
      <c r="D559" s="50"/>
      <c r="F559" s="51">
        <f>SUMIFS('MOVIMENTAÇÃO'!$E:$E,'MOVIMENTAÇÃO'!$C:$C,A559,'MOVIMENTAÇÃO'!$B:$B,"PERDA")</f>
        <v>0</v>
      </c>
      <c r="G559" s="51">
        <f t="shared" si="2"/>
        <v>0</v>
      </c>
      <c r="I559" s="34"/>
    </row>
    <row r="560" ht="22.5" customHeight="1">
      <c r="A560" s="35"/>
      <c r="B560" s="35"/>
      <c r="C560" s="35"/>
      <c r="D560" s="50"/>
      <c r="F560" s="51">
        <f>SUMIFS('MOVIMENTAÇÃO'!$E:$E,'MOVIMENTAÇÃO'!$C:$C,A560,'MOVIMENTAÇÃO'!$B:$B,"PERDA")</f>
        <v>0</v>
      </c>
      <c r="G560" s="51">
        <f t="shared" si="2"/>
        <v>0</v>
      </c>
      <c r="I560" s="34"/>
    </row>
    <row r="561" ht="22.5" customHeight="1">
      <c r="A561" s="35"/>
      <c r="B561" s="35"/>
      <c r="C561" s="35"/>
      <c r="D561" s="50"/>
      <c r="F561" s="51">
        <f>SUMIFS('MOVIMENTAÇÃO'!$E:$E,'MOVIMENTAÇÃO'!$C:$C,A561,'MOVIMENTAÇÃO'!$B:$B,"PERDA")</f>
        <v>0</v>
      </c>
      <c r="G561" s="51">
        <f t="shared" si="2"/>
        <v>0</v>
      </c>
      <c r="I561" s="34"/>
    </row>
    <row r="562" ht="22.5" customHeight="1">
      <c r="A562" s="35"/>
      <c r="B562" s="35"/>
      <c r="C562" s="35"/>
      <c r="D562" s="50"/>
      <c r="F562" s="51">
        <f>SUMIFS('MOVIMENTAÇÃO'!$E:$E,'MOVIMENTAÇÃO'!$C:$C,A562,'MOVIMENTAÇÃO'!$B:$B,"PERDA")</f>
        <v>0</v>
      </c>
      <c r="G562" s="51">
        <f t="shared" si="2"/>
        <v>0</v>
      </c>
      <c r="I562" s="34"/>
    </row>
    <row r="563" ht="22.5" customHeight="1">
      <c r="A563" s="35"/>
      <c r="B563" s="35"/>
      <c r="C563" s="35"/>
      <c r="D563" s="50"/>
      <c r="F563" s="51">
        <f>SUMIFS('MOVIMENTAÇÃO'!$E:$E,'MOVIMENTAÇÃO'!$C:$C,A563,'MOVIMENTAÇÃO'!$B:$B,"PERDA")</f>
        <v>0</v>
      </c>
      <c r="G563" s="51">
        <f t="shared" si="2"/>
        <v>0</v>
      </c>
      <c r="I563" s="34"/>
    </row>
    <row r="564" ht="22.5" customHeight="1">
      <c r="A564" s="35"/>
      <c r="B564" s="35"/>
      <c r="C564" s="35"/>
      <c r="D564" s="50"/>
      <c r="F564" s="51">
        <f>SUMIFS('MOVIMENTAÇÃO'!$E:$E,'MOVIMENTAÇÃO'!$C:$C,A564,'MOVIMENTAÇÃO'!$B:$B,"PERDA")</f>
        <v>0</v>
      </c>
      <c r="G564" s="51">
        <f t="shared" si="2"/>
        <v>0</v>
      </c>
      <c r="I564" s="34"/>
    </row>
    <row r="565" ht="22.5" customHeight="1">
      <c r="A565" s="35"/>
      <c r="B565" s="35"/>
      <c r="C565" s="35"/>
      <c r="D565" s="50"/>
      <c r="F565" s="51">
        <f>SUMIFS('MOVIMENTAÇÃO'!$E:$E,'MOVIMENTAÇÃO'!$C:$C,A565,'MOVIMENTAÇÃO'!$B:$B,"PERDA")</f>
        <v>0</v>
      </c>
      <c r="G565" s="51">
        <f t="shared" si="2"/>
        <v>0</v>
      </c>
      <c r="I565" s="34"/>
    </row>
    <row r="566" ht="22.5" customHeight="1">
      <c r="A566" s="35"/>
      <c r="B566" s="35"/>
      <c r="C566" s="35"/>
      <c r="D566" s="50"/>
      <c r="F566" s="51">
        <f>SUMIFS('MOVIMENTAÇÃO'!$E:$E,'MOVIMENTAÇÃO'!$C:$C,A566,'MOVIMENTAÇÃO'!$B:$B,"PERDA")</f>
        <v>0</v>
      </c>
      <c r="G566" s="51">
        <f t="shared" si="2"/>
        <v>0</v>
      </c>
      <c r="I566" s="34"/>
    </row>
    <row r="567" ht="22.5" customHeight="1">
      <c r="A567" s="35"/>
      <c r="B567" s="35"/>
      <c r="C567" s="35"/>
      <c r="D567" s="50"/>
      <c r="F567" s="51">
        <f>SUMIFS('MOVIMENTAÇÃO'!$E:$E,'MOVIMENTAÇÃO'!$C:$C,A567,'MOVIMENTAÇÃO'!$B:$B,"PERDA")</f>
        <v>0</v>
      </c>
      <c r="G567" s="51">
        <f t="shared" si="2"/>
        <v>0</v>
      </c>
      <c r="I567" s="34"/>
    </row>
    <row r="568" ht="22.5" customHeight="1">
      <c r="A568" s="35"/>
      <c r="B568" s="35"/>
      <c r="C568" s="35"/>
      <c r="D568" s="50"/>
      <c r="F568" s="51">
        <f>SUMIFS('MOVIMENTAÇÃO'!$E:$E,'MOVIMENTAÇÃO'!$C:$C,A568,'MOVIMENTAÇÃO'!$B:$B,"PERDA")</f>
        <v>0</v>
      </c>
      <c r="G568" s="51">
        <f t="shared" si="2"/>
        <v>0</v>
      </c>
      <c r="I568" s="34"/>
    </row>
    <row r="569" ht="22.5" customHeight="1">
      <c r="A569" s="35"/>
      <c r="B569" s="35"/>
      <c r="C569" s="35"/>
      <c r="D569" s="50"/>
      <c r="F569" s="51">
        <f>SUMIFS('MOVIMENTAÇÃO'!$E:$E,'MOVIMENTAÇÃO'!$C:$C,A569,'MOVIMENTAÇÃO'!$B:$B,"PERDA")</f>
        <v>0</v>
      </c>
      <c r="G569" s="51">
        <f t="shared" si="2"/>
        <v>0</v>
      </c>
      <c r="I569" s="34"/>
    </row>
    <row r="570" ht="22.5" customHeight="1">
      <c r="A570" s="35"/>
      <c r="B570" s="35"/>
      <c r="C570" s="35"/>
      <c r="D570" s="50"/>
      <c r="F570" s="51">
        <f>SUMIFS('MOVIMENTAÇÃO'!$E:$E,'MOVIMENTAÇÃO'!$C:$C,A570,'MOVIMENTAÇÃO'!$B:$B,"PERDA")</f>
        <v>0</v>
      </c>
      <c r="G570" s="51">
        <f t="shared" si="2"/>
        <v>0</v>
      </c>
      <c r="I570" s="34"/>
    </row>
    <row r="571" ht="22.5" customHeight="1">
      <c r="A571" s="35"/>
      <c r="B571" s="35"/>
      <c r="C571" s="35"/>
      <c r="D571" s="50"/>
      <c r="F571" s="51">
        <f>SUMIFS('MOVIMENTAÇÃO'!$E:$E,'MOVIMENTAÇÃO'!$C:$C,A571,'MOVIMENTAÇÃO'!$B:$B,"PERDA")</f>
        <v>0</v>
      </c>
      <c r="G571" s="51">
        <f t="shared" si="2"/>
        <v>0</v>
      </c>
      <c r="I571" s="34"/>
    </row>
    <row r="572" ht="22.5" customHeight="1">
      <c r="A572" s="35"/>
      <c r="B572" s="35"/>
      <c r="C572" s="35"/>
      <c r="D572" s="50"/>
      <c r="F572" s="51">
        <f>SUMIFS('MOVIMENTAÇÃO'!$E:$E,'MOVIMENTAÇÃO'!$C:$C,A572,'MOVIMENTAÇÃO'!$B:$B,"PERDA")</f>
        <v>0</v>
      </c>
      <c r="G572" s="51">
        <f t="shared" si="2"/>
        <v>0</v>
      </c>
      <c r="I572" s="34"/>
    </row>
    <row r="573" ht="22.5" customHeight="1">
      <c r="A573" s="35"/>
      <c r="B573" s="35"/>
      <c r="C573" s="35"/>
      <c r="D573" s="50"/>
      <c r="F573" s="51">
        <f>SUMIFS('MOVIMENTAÇÃO'!$E:$E,'MOVIMENTAÇÃO'!$C:$C,A573,'MOVIMENTAÇÃO'!$B:$B,"PERDA")</f>
        <v>0</v>
      </c>
      <c r="G573" s="51">
        <f t="shared" si="2"/>
        <v>0</v>
      </c>
      <c r="I573" s="34"/>
    </row>
    <row r="574" ht="22.5" customHeight="1">
      <c r="A574" s="35"/>
      <c r="B574" s="35"/>
      <c r="C574" s="35"/>
      <c r="D574" s="50"/>
      <c r="F574" s="51">
        <f>SUMIFS('MOVIMENTAÇÃO'!$E:$E,'MOVIMENTAÇÃO'!$C:$C,A574,'MOVIMENTAÇÃO'!$B:$B,"PERDA")</f>
        <v>0</v>
      </c>
      <c r="G574" s="51">
        <f t="shared" si="2"/>
        <v>0</v>
      </c>
      <c r="I574" s="34"/>
    </row>
    <row r="575" ht="22.5" customHeight="1">
      <c r="A575" s="35"/>
      <c r="B575" s="35"/>
      <c r="C575" s="35"/>
      <c r="D575" s="50"/>
      <c r="F575" s="51">
        <f>SUMIFS('MOVIMENTAÇÃO'!$E:$E,'MOVIMENTAÇÃO'!$C:$C,A575,'MOVIMENTAÇÃO'!$B:$B,"PERDA")</f>
        <v>0</v>
      </c>
      <c r="G575" s="51">
        <f t="shared" si="2"/>
        <v>0</v>
      </c>
      <c r="I575" s="34"/>
    </row>
    <row r="576" ht="22.5" customHeight="1">
      <c r="A576" s="35"/>
      <c r="B576" s="35"/>
      <c r="C576" s="35"/>
      <c r="D576" s="50"/>
      <c r="F576" s="51">
        <f>SUMIFS('MOVIMENTAÇÃO'!$E:$E,'MOVIMENTAÇÃO'!$C:$C,A576,'MOVIMENTAÇÃO'!$B:$B,"PERDA")</f>
        <v>0</v>
      </c>
      <c r="G576" s="51">
        <f t="shared" si="2"/>
        <v>0</v>
      </c>
      <c r="I576" s="34"/>
    </row>
    <row r="577" ht="22.5" customHeight="1">
      <c r="A577" s="35"/>
      <c r="B577" s="35"/>
      <c r="C577" s="35"/>
      <c r="D577" s="50"/>
      <c r="F577" s="51">
        <f>SUMIFS('MOVIMENTAÇÃO'!$E:$E,'MOVIMENTAÇÃO'!$C:$C,A577,'MOVIMENTAÇÃO'!$B:$B,"PERDA")</f>
        <v>0</v>
      </c>
      <c r="G577" s="51">
        <f t="shared" si="2"/>
        <v>0</v>
      </c>
      <c r="I577" s="34"/>
    </row>
    <row r="578" ht="22.5" customHeight="1">
      <c r="A578" s="35"/>
      <c r="B578" s="35"/>
      <c r="C578" s="35"/>
      <c r="D578" s="50"/>
      <c r="F578" s="51">
        <f>SUMIFS('MOVIMENTAÇÃO'!$E:$E,'MOVIMENTAÇÃO'!$C:$C,A578,'MOVIMENTAÇÃO'!$B:$B,"PERDA")</f>
        <v>0</v>
      </c>
      <c r="G578" s="51">
        <f t="shared" si="2"/>
        <v>0</v>
      </c>
      <c r="I578" s="34"/>
    </row>
    <row r="579" ht="22.5" customHeight="1">
      <c r="A579" s="35"/>
      <c r="B579" s="35"/>
      <c r="C579" s="35"/>
      <c r="D579" s="50"/>
      <c r="F579" s="51">
        <f>SUMIFS('MOVIMENTAÇÃO'!$E:$E,'MOVIMENTAÇÃO'!$C:$C,A579,'MOVIMENTAÇÃO'!$B:$B,"PERDA")</f>
        <v>0</v>
      </c>
      <c r="G579" s="51">
        <f t="shared" si="2"/>
        <v>0</v>
      </c>
      <c r="I579" s="34"/>
    </row>
    <row r="580" ht="22.5" customHeight="1">
      <c r="A580" s="35"/>
      <c r="B580" s="35"/>
      <c r="C580" s="35"/>
      <c r="D580" s="50"/>
      <c r="F580" s="51">
        <f>SUMIFS('MOVIMENTAÇÃO'!$E:$E,'MOVIMENTAÇÃO'!$C:$C,A580,'MOVIMENTAÇÃO'!$B:$B,"PERDA")</f>
        <v>0</v>
      </c>
      <c r="G580" s="51">
        <f t="shared" si="2"/>
        <v>0</v>
      </c>
      <c r="I580" s="34"/>
    </row>
    <row r="581" ht="22.5" customHeight="1">
      <c r="A581" s="35"/>
      <c r="B581" s="35"/>
      <c r="C581" s="35"/>
      <c r="D581" s="50"/>
      <c r="F581" s="51">
        <f>SUMIFS('MOVIMENTAÇÃO'!$E:$E,'MOVIMENTAÇÃO'!$C:$C,A581,'MOVIMENTAÇÃO'!$B:$B,"PERDA")</f>
        <v>0</v>
      </c>
      <c r="G581" s="51">
        <f t="shared" si="2"/>
        <v>0</v>
      </c>
      <c r="I581" s="34"/>
    </row>
    <row r="582" ht="22.5" customHeight="1">
      <c r="A582" s="35"/>
      <c r="B582" s="35"/>
      <c r="C582" s="35"/>
      <c r="D582" s="50"/>
      <c r="F582" s="51">
        <f>SUMIFS('MOVIMENTAÇÃO'!$E:$E,'MOVIMENTAÇÃO'!$C:$C,A582,'MOVIMENTAÇÃO'!$B:$B,"PERDA")</f>
        <v>0</v>
      </c>
      <c r="G582" s="51">
        <f t="shared" si="2"/>
        <v>0</v>
      </c>
      <c r="I582" s="34"/>
    </row>
    <row r="583" ht="22.5" customHeight="1">
      <c r="A583" s="35"/>
      <c r="B583" s="35"/>
      <c r="C583" s="35"/>
      <c r="D583" s="50"/>
      <c r="F583" s="51">
        <f>SUMIFS('MOVIMENTAÇÃO'!$E:$E,'MOVIMENTAÇÃO'!$C:$C,A583,'MOVIMENTAÇÃO'!$B:$B,"PERDA")</f>
        <v>0</v>
      </c>
      <c r="G583" s="51">
        <f t="shared" si="2"/>
        <v>0</v>
      </c>
      <c r="I583" s="34"/>
    </row>
    <row r="584" ht="22.5" customHeight="1">
      <c r="A584" s="35"/>
      <c r="B584" s="35"/>
      <c r="C584" s="35"/>
      <c r="D584" s="50"/>
      <c r="F584" s="51">
        <f>SUMIFS('MOVIMENTAÇÃO'!$E:$E,'MOVIMENTAÇÃO'!$C:$C,A584,'MOVIMENTAÇÃO'!$B:$B,"PERDA")</f>
        <v>0</v>
      </c>
      <c r="G584" s="51">
        <f t="shared" si="2"/>
        <v>0</v>
      </c>
      <c r="I584" s="34"/>
    </row>
    <row r="585" ht="22.5" customHeight="1">
      <c r="A585" s="35"/>
      <c r="B585" s="35"/>
      <c r="C585" s="35"/>
      <c r="D585" s="50"/>
      <c r="F585" s="51">
        <f>SUMIFS('MOVIMENTAÇÃO'!$E:$E,'MOVIMENTAÇÃO'!$C:$C,A585,'MOVIMENTAÇÃO'!$B:$B,"PERDA")</f>
        <v>0</v>
      </c>
      <c r="G585" s="51">
        <f t="shared" si="2"/>
        <v>0</v>
      </c>
      <c r="I585" s="34"/>
    </row>
    <row r="586" ht="22.5" customHeight="1">
      <c r="A586" s="35"/>
      <c r="B586" s="35"/>
      <c r="C586" s="35"/>
      <c r="D586" s="50"/>
      <c r="F586" s="51">
        <f>SUMIFS('MOVIMENTAÇÃO'!$E:$E,'MOVIMENTAÇÃO'!$C:$C,A586,'MOVIMENTAÇÃO'!$B:$B,"PERDA")</f>
        <v>0</v>
      </c>
      <c r="G586" s="51">
        <f t="shared" si="2"/>
        <v>0</v>
      </c>
      <c r="I586" s="34"/>
    </row>
    <row r="587" ht="22.5" customHeight="1">
      <c r="A587" s="35"/>
      <c r="B587" s="35"/>
      <c r="C587" s="35"/>
      <c r="D587" s="50"/>
      <c r="F587" s="51">
        <f>SUMIFS('MOVIMENTAÇÃO'!$E:$E,'MOVIMENTAÇÃO'!$C:$C,A587,'MOVIMENTAÇÃO'!$B:$B,"PERDA")</f>
        <v>0</v>
      </c>
      <c r="G587" s="51">
        <f t="shared" si="2"/>
        <v>0</v>
      </c>
      <c r="I587" s="34"/>
    </row>
    <row r="588" ht="22.5" customHeight="1">
      <c r="A588" s="35"/>
      <c r="B588" s="35"/>
      <c r="C588" s="35"/>
      <c r="D588" s="50"/>
      <c r="F588" s="51">
        <f>SUMIFS('MOVIMENTAÇÃO'!$E:$E,'MOVIMENTAÇÃO'!$C:$C,A588,'MOVIMENTAÇÃO'!$B:$B,"PERDA")</f>
        <v>0</v>
      </c>
      <c r="G588" s="51">
        <f t="shared" si="2"/>
        <v>0</v>
      </c>
      <c r="I588" s="34"/>
    </row>
    <row r="589" ht="22.5" customHeight="1">
      <c r="A589" s="35"/>
      <c r="B589" s="35"/>
      <c r="C589" s="35"/>
      <c r="D589" s="50"/>
      <c r="F589" s="51">
        <f>SUMIFS('MOVIMENTAÇÃO'!$E:$E,'MOVIMENTAÇÃO'!$C:$C,A589,'MOVIMENTAÇÃO'!$B:$B,"PERDA")</f>
        <v>0</v>
      </c>
      <c r="G589" s="51">
        <f t="shared" si="2"/>
        <v>0</v>
      </c>
      <c r="I589" s="34"/>
    </row>
    <row r="590" ht="22.5" customHeight="1">
      <c r="A590" s="35"/>
      <c r="B590" s="35"/>
      <c r="C590" s="35"/>
      <c r="D590" s="50"/>
      <c r="F590" s="51">
        <f>SUMIFS('MOVIMENTAÇÃO'!$E:$E,'MOVIMENTAÇÃO'!$C:$C,A590,'MOVIMENTAÇÃO'!$B:$B,"PERDA")</f>
        <v>0</v>
      </c>
      <c r="G590" s="51">
        <f t="shared" si="2"/>
        <v>0</v>
      </c>
      <c r="I590" s="34"/>
    </row>
    <row r="591" ht="22.5" customHeight="1">
      <c r="A591" s="35"/>
      <c r="B591" s="35"/>
      <c r="C591" s="35"/>
      <c r="D591" s="50"/>
      <c r="F591" s="51">
        <f>SUMIFS('MOVIMENTAÇÃO'!$E:$E,'MOVIMENTAÇÃO'!$C:$C,A591,'MOVIMENTAÇÃO'!$B:$B,"PERDA")</f>
        <v>0</v>
      </c>
      <c r="G591" s="51">
        <f t="shared" si="2"/>
        <v>0</v>
      </c>
      <c r="I591" s="34"/>
    </row>
    <row r="592" ht="22.5" customHeight="1">
      <c r="A592" s="35"/>
      <c r="B592" s="35"/>
      <c r="C592" s="35"/>
      <c r="D592" s="50"/>
      <c r="F592" s="51">
        <f>SUMIFS('MOVIMENTAÇÃO'!$E:$E,'MOVIMENTAÇÃO'!$C:$C,A592,'MOVIMENTAÇÃO'!$B:$B,"PERDA")</f>
        <v>0</v>
      </c>
      <c r="G592" s="51">
        <f t="shared" si="2"/>
        <v>0</v>
      </c>
      <c r="I592" s="34"/>
    </row>
    <row r="593" ht="22.5" customHeight="1">
      <c r="A593" s="35"/>
      <c r="B593" s="35"/>
      <c r="C593" s="35"/>
      <c r="D593" s="50"/>
      <c r="F593" s="51">
        <f>SUMIFS('MOVIMENTAÇÃO'!$E:$E,'MOVIMENTAÇÃO'!$C:$C,A593,'MOVIMENTAÇÃO'!$B:$B,"PERDA")</f>
        <v>0</v>
      </c>
      <c r="G593" s="51">
        <f t="shared" si="2"/>
        <v>0</v>
      </c>
      <c r="I593" s="34"/>
    </row>
    <row r="594" ht="22.5" customHeight="1">
      <c r="A594" s="35"/>
      <c r="B594" s="35"/>
      <c r="C594" s="35"/>
      <c r="D594" s="50"/>
      <c r="F594" s="51">
        <f>SUMIFS('MOVIMENTAÇÃO'!$E:$E,'MOVIMENTAÇÃO'!$C:$C,A594,'MOVIMENTAÇÃO'!$B:$B,"PERDA")</f>
        <v>0</v>
      </c>
      <c r="G594" s="51">
        <f t="shared" si="2"/>
        <v>0</v>
      </c>
      <c r="I594" s="34"/>
    </row>
    <row r="595" ht="22.5" customHeight="1">
      <c r="A595" s="35"/>
      <c r="B595" s="35"/>
      <c r="C595" s="35"/>
      <c r="D595" s="50"/>
      <c r="F595" s="51">
        <f>SUMIFS('MOVIMENTAÇÃO'!$E:$E,'MOVIMENTAÇÃO'!$C:$C,A595,'MOVIMENTAÇÃO'!$B:$B,"PERDA")</f>
        <v>0</v>
      </c>
      <c r="G595" s="51">
        <f t="shared" si="2"/>
        <v>0</v>
      </c>
      <c r="I595" s="34"/>
    </row>
    <row r="596" ht="22.5" customHeight="1">
      <c r="A596" s="35"/>
      <c r="B596" s="35"/>
      <c r="C596" s="35"/>
      <c r="D596" s="50"/>
      <c r="F596" s="51">
        <f>SUMIFS('MOVIMENTAÇÃO'!$E:$E,'MOVIMENTAÇÃO'!$C:$C,A596,'MOVIMENTAÇÃO'!$B:$B,"PERDA")</f>
        <v>0</v>
      </c>
      <c r="G596" s="51">
        <f t="shared" si="2"/>
        <v>0</v>
      </c>
      <c r="I596" s="34"/>
    </row>
    <row r="597" ht="22.5" customHeight="1">
      <c r="A597" s="35"/>
      <c r="B597" s="35"/>
      <c r="C597" s="35"/>
      <c r="D597" s="50"/>
      <c r="F597" s="51">
        <f>SUMIFS('MOVIMENTAÇÃO'!$E:$E,'MOVIMENTAÇÃO'!$C:$C,A597,'MOVIMENTAÇÃO'!$B:$B,"PERDA")</f>
        <v>0</v>
      </c>
      <c r="G597" s="51">
        <f t="shared" si="2"/>
        <v>0</v>
      </c>
      <c r="I597" s="34"/>
    </row>
    <row r="598" ht="22.5" customHeight="1">
      <c r="A598" s="35"/>
      <c r="B598" s="35"/>
      <c r="C598" s="35"/>
      <c r="D598" s="50"/>
      <c r="F598" s="51">
        <f>SUMIFS('MOVIMENTAÇÃO'!$E:$E,'MOVIMENTAÇÃO'!$C:$C,A598,'MOVIMENTAÇÃO'!$B:$B,"PERDA")</f>
        <v>0</v>
      </c>
      <c r="G598" s="51">
        <f t="shared" si="2"/>
        <v>0</v>
      </c>
      <c r="I598" s="34"/>
    </row>
    <row r="599" ht="22.5" customHeight="1">
      <c r="A599" s="35"/>
      <c r="B599" s="35"/>
      <c r="C599" s="35"/>
      <c r="D599" s="50"/>
      <c r="F599" s="51">
        <f>SUMIFS('MOVIMENTAÇÃO'!$E:$E,'MOVIMENTAÇÃO'!$C:$C,A599,'MOVIMENTAÇÃO'!$B:$B,"PERDA")</f>
        <v>0</v>
      </c>
      <c r="G599" s="51">
        <f t="shared" si="2"/>
        <v>0</v>
      </c>
      <c r="I599" s="34"/>
    </row>
    <row r="600" ht="22.5" customHeight="1">
      <c r="A600" s="35"/>
      <c r="B600" s="35"/>
      <c r="C600" s="35"/>
      <c r="D600" s="50"/>
      <c r="F600" s="51">
        <f>SUMIFS('MOVIMENTAÇÃO'!$E:$E,'MOVIMENTAÇÃO'!$C:$C,A600,'MOVIMENTAÇÃO'!$B:$B,"PERDA")</f>
        <v>0</v>
      </c>
      <c r="G600" s="51">
        <f t="shared" si="2"/>
        <v>0</v>
      </c>
      <c r="I600" s="34"/>
    </row>
    <row r="601" ht="22.5" customHeight="1">
      <c r="A601" s="35"/>
      <c r="B601" s="35"/>
      <c r="C601" s="35"/>
      <c r="D601" s="50"/>
      <c r="F601" s="51">
        <f>SUMIFS('MOVIMENTAÇÃO'!$E:$E,'MOVIMENTAÇÃO'!$C:$C,A601,'MOVIMENTAÇÃO'!$B:$B,"PERDA")</f>
        <v>0</v>
      </c>
      <c r="G601" s="51">
        <f t="shared" si="2"/>
        <v>0</v>
      </c>
      <c r="I601" s="34"/>
    </row>
    <row r="602" ht="22.5" customHeight="1">
      <c r="A602" s="35"/>
      <c r="B602" s="35"/>
      <c r="C602" s="35"/>
      <c r="D602" s="50"/>
      <c r="F602" s="51">
        <f>SUMIFS('MOVIMENTAÇÃO'!$E:$E,'MOVIMENTAÇÃO'!$C:$C,A602,'MOVIMENTAÇÃO'!$B:$B,"PERDA")</f>
        <v>0</v>
      </c>
      <c r="G602" s="51">
        <f t="shared" si="2"/>
        <v>0</v>
      </c>
      <c r="I602" s="34"/>
    </row>
    <row r="603" ht="22.5" customHeight="1">
      <c r="A603" s="35"/>
      <c r="B603" s="35"/>
      <c r="C603" s="35"/>
      <c r="D603" s="50"/>
      <c r="F603" s="51">
        <f>SUMIFS('MOVIMENTAÇÃO'!$E:$E,'MOVIMENTAÇÃO'!$C:$C,A603,'MOVIMENTAÇÃO'!$B:$B,"PERDA")</f>
        <v>0</v>
      </c>
      <c r="G603" s="51">
        <f t="shared" si="2"/>
        <v>0</v>
      </c>
      <c r="I603" s="34"/>
    </row>
    <row r="604" ht="22.5" customHeight="1">
      <c r="A604" s="35"/>
      <c r="B604" s="35"/>
      <c r="C604" s="35"/>
      <c r="D604" s="50"/>
      <c r="F604" s="51">
        <f>SUMIFS('MOVIMENTAÇÃO'!$E:$E,'MOVIMENTAÇÃO'!$C:$C,A604,'MOVIMENTAÇÃO'!$B:$B,"PERDA")</f>
        <v>0</v>
      </c>
      <c r="G604" s="51">
        <f t="shared" si="2"/>
        <v>0</v>
      </c>
      <c r="I604" s="34"/>
    </row>
    <row r="605" ht="22.5" customHeight="1">
      <c r="A605" s="35"/>
      <c r="B605" s="35"/>
      <c r="C605" s="35"/>
      <c r="D605" s="50"/>
      <c r="F605" s="51">
        <f>SUMIFS('MOVIMENTAÇÃO'!$E:$E,'MOVIMENTAÇÃO'!$C:$C,A605,'MOVIMENTAÇÃO'!$B:$B,"PERDA")</f>
        <v>0</v>
      </c>
      <c r="G605" s="51">
        <f t="shared" si="2"/>
        <v>0</v>
      </c>
      <c r="I605" s="34"/>
    </row>
    <row r="606" ht="22.5" customHeight="1">
      <c r="A606" s="35"/>
      <c r="B606" s="35"/>
      <c r="C606" s="35"/>
      <c r="D606" s="50"/>
      <c r="F606" s="51">
        <f>SUMIFS('MOVIMENTAÇÃO'!$E:$E,'MOVIMENTAÇÃO'!$C:$C,A606,'MOVIMENTAÇÃO'!$B:$B,"PERDA")</f>
        <v>0</v>
      </c>
      <c r="G606" s="51">
        <f t="shared" si="2"/>
        <v>0</v>
      </c>
      <c r="I606" s="34"/>
    </row>
    <row r="607" ht="22.5" customHeight="1">
      <c r="A607" s="35"/>
      <c r="B607" s="35"/>
      <c r="C607" s="35"/>
      <c r="D607" s="50"/>
      <c r="F607" s="51">
        <f>SUMIFS('MOVIMENTAÇÃO'!$E:$E,'MOVIMENTAÇÃO'!$C:$C,A607,'MOVIMENTAÇÃO'!$B:$B,"PERDA")</f>
        <v>0</v>
      </c>
      <c r="G607" s="51">
        <f t="shared" si="2"/>
        <v>0</v>
      </c>
      <c r="I607" s="34"/>
    </row>
    <row r="608" ht="22.5" customHeight="1">
      <c r="A608" s="35"/>
      <c r="B608" s="35"/>
      <c r="C608" s="35"/>
      <c r="D608" s="50"/>
      <c r="F608" s="51">
        <f>SUMIFS('MOVIMENTAÇÃO'!$E:$E,'MOVIMENTAÇÃO'!$C:$C,A608,'MOVIMENTAÇÃO'!$B:$B,"PERDA")</f>
        <v>0</v>
      </c>
      <c r="G608" s="51">
        <f t="shared" si="2"/>
        <v>0</v>
      </c>
      <c r="I608" s="34"/>
    </row>
    <row r="609" ht="22.5" customHeight="1">
      <c r="A609" s="35"/>
      <c r="B609" s="35"/>
      <c r="C609" s="35"/>
      <c r="D609" s="50"/>
      <c r="F609" s="51">
        <f>SUMIFS('MOVIMENTAÇÃO'!$E:$E,'MOVIMENTAÇÃO'!$C:$C,A609,'MOVIMENTAÇÃO'!$B:$B,"PERDA")</f>
        <v>0</v>
      </c>
      <c r="G609" s="51">
        <f t="shared" si="2"/>
        <v>0</v>
      </c>
      <c r="I609" s="34"/>
    </row>
    <row r="610" ht="22.5" customHeight="1">
      <c r="A610" s="35"/>
      <c r="B610" s="35"/>
      <c r="C610" s="35"/>
      <c r="D610" s="50"/>
      <c r="F610" s="51">
        <f>SUMIFS('MOVIMENTAÇÃO'!$E:$E,'MOVIMENTAÇÃO'!$C:$C,A610,'MOVIMENTAÇÃO'!$B:$B,"PERDA")</f>
        <v>0</v>
      </c>
      <c r="G610" s="51">
        <f t="shared" si="2"/>
        <v>0</v>
      </c>
      <c r="I610" s="34"/>
    </row>
    <row r="611" ht="22.5" customHeight="1">
      <c r="A611" s="35"/>
      <c r="B611" s="35"/>
      <c r="C611" s="35"/>
      <c r="D611" s="50"/>
      <c r="F611" s="51">
        <f>SUMIFS('MOVIMENTAÇÃO'!$E:$E,'MOVIMENTAÇÃO'!$C:$C,A611,'MOVIMENTAÇÃO'!$B:$B,"PERDA")</f>
        <v>0</v>
      </c>
      <c r="G611" s="51">
        <f t="shared" si="2"/>
        <v>0</v>
      </c>
      <c r="I611" s="34"/>
    </row>
    <row r="612" ht="22.5" customHeight="1">
      <c r="A612" s="35"/>
      <c r="B612" s="35"/>
      <c r="C612" s="35"/>
      <c r="D612" s="50"/>
      <c r="F612" s="51">
        <f>SUMIFS('MOVIMENTAÇÃO'!$E:$E,'MOVIMENTAÇÃO'!$C:$C,A612,'MOVIMENTAÇÃO'!$B:$B,"PERDA")</f>
        <v>0</v>
      </c>
      <c r="G612" s="51">
        <f t="shared" si="2"/>
        <v>0</v>
      </c>
      <c r="I612" s="34"/>
    </row>
    <row r="613" ht="22.5" customHeight="1">
      <c r="A613" s="35"/>
      <c r="B613" s="35"/>
      <c r="C613" s="35"/>
      <c r="D613" s="50"/>
      <c r="F613" s="51">
        <f>SUMIFS('MOVIMENTAÇÃO'!$E:$E,'MOVIMENTAÇÃO'!$C:$C,A613,'MOVIMENTAÇÃO'!$B:$B,"PERDA")</f>
        <v>0</v>
      </c>
      <c r="G613" s="51">
        <f t="shared" si="2"/>
        <v>0</v>
      </c>
      <c r="I613" s="34"/>
    </row>
    <row r="614" ht="22.5" customHeight="1">
      <c r="A614" s="35"/>
      <c r="B614" s="35"/>
      <c r="C614" s="35"/>
      <c r="D614" s="50"/>
      <c r="F614" s="51">
        <f>SUMIFS('MOVIMENTAÇÃO'!$E:$E,'MOVIMENTAÇÃO'!$C:$C,A614,'MOVIMENTAÇÃO'!$B:$B,"PERDA")</f>
        <v>0</v>
      </c>
      <c r="G614" s="51">
        <f t="shared" si="2"/>
        <v>0</v>
      </c>
      <c r="I614" s="34"/>
    </row>
    <row r="615" ht="22.5" customHeight="1">
      <c r="A615" s="35"/>
      <c r="B615" s="35"/>
      <c r="C615" s="35"/>
      <c r="D615" s="50"/>
      <c r="F615" s="51">
        <f>SUMIFS('MOVIMENTAÇÃO'!$E:$E,'MOVIMENTAÇÃO'!$C:$C,A615,'MOVIMENTAÇÃO'!$B:$B,"PERDA")</f>
        <v>0</v>
      </c>
      <c r="G615" s="51">
        <f t="shared" si="2"/>
        <v>0</v>
      </c>
      <c r="I615" s="34"/>
    </row>
    <row r="616" ht="22.5" customHeight="1">
      <c r="A616" s="35"/>
      <c r="B616" s="35"/>
      <c r="C616" s="35"/>
      <c r="D616" s="50"/>
      <c r="F616" s="51">
        <f>SUMIFS('MOVIMENTAÇÃO'!$E:$E,'MOVIMENTAÇÃO'!$C:$C,A616,'MOVIMENTAÇÃO'!$B:$B,"PERDA")</f>
        <v>0</v>
      </c>
      <c r="G616" s="51">
        <f t="shared" si="2"/>
        <v>0</v>
      </c>
      <c r="I616" s="34"/>
    </row>
    <row r="617" ht="22.5" customHeight="1">
      <c r="A617" s="35"/>
      <c r="B617" s="35"/>
      <c r="C617" s="35"/>
      <c r="D617" s="50"/>
      <c r="F617" s="51">
        <f>SUMIFS('MOVIMENTAÇÃO'!$E:$E,'MOVIMENTAÇÃO'!$C:$C,A617,'MOVIMENTAÇÃO'!$B:$B,"PERDA")</f>
        <v>0</v>
      </c>
      <c r="G617" s="51">
        <f t="shared" si="2"/>
        <v>0</v>
      </c>
      <c r="I617" s="34"/>
    </row>
    <row r="618" ht="22.5" customHeight="1">
      <c r="A618" s="35"/>
      <c r="B618" s="35"/>
      <c r="C618" s="35"/>
      <c r="D618" s="50"/>
      <c r="F618" s="51">
        <f>SUMIFS('MOVIMENTAÇÃO'!$E:$E,'MOVIMENTAÇÃO'!$C:$C,A618,'MOVIMENTAÇÃO'!$B:$B,"PERDA")</f>
        <v>0</v>
      </c>
      <c r="G618" s="51">
        <f t="shared" si="2"/>
        <v>0</v>
      </c>
      <c r="I618" s="34"/>
    </row>
    <row r="619" ht="22.5" customHeight="1">
      <c r="A619" s="35"/>
      <c r="B619" s="35"/>
      <c r="C619" s="35"/>
      <c r="D619" s="50"/>
      <c r="F619" s="51">
        <f>SUMIFS('MOVIMENTAÇÃO'!$E:$E,'MOVIMENTAÇÃO'!$C:$C,A619,'MOVIMENTAÇÃO'!$B:$B,"PERDA")</f>
        <v>0</v>
      </c>
      <c r="G619" s="51">
        <f t="shared" si="2"/>
        <v>0</v>
      </c>
      <c r="I619" s="34"/>
    </row>
    <row r="620" ht="22.5" customHeight="1">
      <c r="A620" s="35"/>
      <c r="B620" s="35"/>
      <c r="C620" s="35"/>
      <c r="D620" s="50"/>
      <c r="F620" s="51">
        <f>SUMIFS('MOVIMENTAÇÃO'!$E:$E,'MOVIMENTAÇÃO'!$C:$C,A620,'MOVIMENTAÇÃO'!$B:$B,"PERDA")</f>
        <v>0</v>
      </c>
      <c r="G620" s="51">
        <f t="shared" si="2"/>
        <v>0</v>
      </c>
      <c r="I620" s="34"/>
    </row>
    <row r="621" ht="22.5" customHeight="1">
      <c r="A621" s="35"/>
      <c r="B621" s="35"/>
      <c r="C621" s="35"/>
      <c r="D621" s="50"/>
      <c r="F621" s="51">
        <f>SUMIFS('MOVIMENTAÇÃO'!$E:$E,'MOVIMENTAÇÃO'!$C:$C,A621,'MOVIMENTAÇÃO'!$B:$B,"PERDA")</f>
        <v>0</v>
      </c>
      <c r="G621" s="51">
        <f t="shared" si="2"/>
        <v>0</v>
      </c>
      <c r="I621" s="34"/>
    </row>
    <row r="622" ht="22.5" customHeight="1">
      <c r="A622" s="35"/>
      <c r="B622" s="35"/>
      <c r="C622" s="35"/>
      <c r="D622" s="50"/>
      <c r="F622" s="51">
        <f>SUMIFS('MOVIMENTAÇÃO'!$E:$E,'MOVIMENTAÇÃO'!$C:$C,A622,'MOVIMENTAÇÃO'!$B:$B,"PERDA")</f>
        <v>0</v>
      </c>
      <c r="G622" s="51">
        <f t="shared" si="2"/>
        <v>0</v>
      </c>
      <c r="I622" s="34"/>
    </row>
    <row r="623" ht="22.5" customHeight="1">
      <c r="A623" s="35"/>
      <c r="B623" s="35"/>
      <c r="C623" s="35"/>
      <c r="D623" s="50"/>
      <c r="F623" s="51">
        <f>SUMIFS('MOVIMENTAÇÃO'!$E:$E,'MOVIMENTAÇÃO'!$C:$C,A623,'MOVIMENTAÇÃO'!$B:$B,"PERDA")</f>
        <v>0</v>
      </c>
      <c r="G623" s="51">
        <f t="shared" si="2"/>
        <v>0</v>
      </c>
      <c r="I623" s="34"/>
    </row>
    <row r="624" ht="22.5" customHeight="1">
      <c r="A624" s="35"/>
      <c r="B624" s="35"/>
      <c r="C624" s="35"/>
      <c r="D624" s="50"/>
      <c r="F624" s="51">
        <f>SUMIFS('MOVIMENTAÇÃO'!$E:$E,'MOVIMENTAÇÃO'!$C:$C,A624,'MOVIMENTAÇÃO'!$B:$B,"PERDA")</f>
        <v>0</v>
      </c>
      <c r="G624" s="51">
        <f t="shared" si="2"/>
        <v>0</v>
      </c>
      <c r="I624" s="34"/>
    </row>
    <row r="625" ht="22.5" customHeight="1">
      <c r="A625" s="35"/>
      <c r="B625" s="35"/>
      <c r="C625" s="35"/>
      <c r="D625" s="50"/>
      <c r="F625" s="51">
        <f>SUMIFS('MOVIMENTAÇÃO'!$E:$E,'MOVIMENTAÇÃO'!$C:$C,A625,'MOVIMENTAÇÃO'!$B:$B,"PERDA")</f>
        <v>0</v>
      </c>
      <c r="G625" s="51">
        <f t="shared" si="2"/>
        <v>0</v>
      </c>
      <c r="I625" s="34"/>
    </row>
    <row r="626" ht="22.5" customHeight="1">
      <c r="A626" s="35"/>
      <c r="B626" s="35"/>
      <c r="C626" s="35"/>
      <c r="D626" s="50"/>
      <c r="F626" s="51">
        <f>SUMIFS('MOVIMENTAÇÃO'!$E:$E,'MOVIMENTAÇÃO'!$C:$C,A626,'MOVIMENTAÇÃO'!$B:$B,"PERDA")</f>
        <v>0</v>
      </c>
      <c r="G626" s="51">
        <f t="shared" si="2"/>
        <v>0</v>
      </c>
      <c r="I626" s="34"/>
    </row>
    <row r="627" ht="22.5" customHeight="1">
      <c r="A627" s="35"/>
      <c r="B627" s="35"/>
      <c r="C627" s="35"/>
      <c r="D627" s="50"/>
      <c r="F627" s="51">
        <f>SUMIFS('MOVIMENTAÇÃO'!$E:$E,'MOVIMENTAÇÃO'!$C:$C,A627,'MOVIMENTAÇÃO'!$B:$B,"PERDA")</f>
        <v>0</v>
      </c>
      <c r="G627" s="51">
        <f t="shared" si="2"/>
        <v>0</v>
      </c>
      <c r="I627" s="34"/>
    </row>
    <row r="628" ht="22.5" customHeight="1">
      <c r="A628" s="35"/>
      <c r="B628" s="35"/>
      <c r="C628" s="35"/>
      <c r="D628" s="50"/>
      <c r="F628" s="51">
        <f>SUMIFS('MOVIMENTAÇÃO'!$E:$E,'MOVIMENTAÇÃO'!$C:$C,A628,'MOVIMENTAÇÃO'!$B:$B,"PERDA")</f>
        <v>0</v>
      </c>
      <c r="G628" s="51">
        <f t="shared" si="2"/>
        <v>0</v>
      </c>
      <c r="I628" s="34"/>
    </row>
    <row r="629" ht="22.5" customHeight="1">
      <c r="A629" s="35"/>
      <c r="B629" s="35"/>
      <c r="C629" s="35"/>
      <c r="D629" s="50"/>
      <c r="F629" s="51">
        <f>SUMIFS('MOVIMENTAÇÃO'!$E:$E,'MOVIMENTAÇÃO'!$C:$C,A629,'MOVIMENTAÇÃO'!$B:$B,"PERDA")</f>
        <v>0</v>
      </c>
      <c r="G629" s="51">
        <f t="shared" si="2"/>
        <v>0</v>
      </c>
      <c r="I629" s="34"/>
    </row>
    <row r="630" ht="22.5" customHeight="1">
      <c r="A630" s="35"/>
      <c r="B630" s="35"/>
      <c r="C630" s="35"/>
      <c r="D630" s="50"/>
      <c r="F630" s="51">
        <f>SUMIFS('MOVIMENTAÇÃO'!$E:$E,'MOVIMENTAÇÃO'!$C:$C,A630,'MOVIMENTAÇÃO'!$B:$B,"PERDA")</f>
        <v>0</v>
      </c>
      <c r="G630" s="51">
        <f t="shared" si="2"/>
        <v>0</v>
      </c>
      <c r="I630" s="34"/>
    </row>
    <row r="631" ht="22.5" customHeight="1">
      <c r="A631" s="35"/>
      <c r="B631" s="35"/>
      <c r="C631" s="35"/>
      <c r="D631" s="50"/>
      <c r="F631" s="51">
        <f>SUMIFS('MOVIMENTAÇÃO'!$E:$E,'MOVIMENTAÇÃO'!$C:$C,A631,'MOVIMENTAÇÃO'!$B:$B,"PERDA")</f>
        <v>0</v>
      </c>
      <c r="G631" s="51">
        <f t="shared" si="2"/>
        <v>0</v>
      </c>
      <c r="I631" s="34"/>
    </row>
    <row r="632" ht="22.5" customHeight="1">
      <c r="A632" s="35"/>
      <c r="B632" s="35"/>
      <c r="C632" s="35"/>
      <c r="D632" s="50"/>
      <c r="F632" s="51">
        <f>SUMIFS('MOVIMENTAÇÃO'!$E:$E,'MOVIMENTAÇÃO'!$C:$C,A632,'MOVIMENTAÇÃO'!$B:$B,"PERDA")</f>
        <v>0</v>
      </c>
      <c r="G632" s="51">
        <f t="shared" si="2"/>
        <v>0</v>
      </c>
      <c r="I632" s="34"/>
    </row>
    <row r="633" ht="22.5" customHeight="1">
      <c r="A633" s="35"/>
      <c r="B633" s="35"/>
      <c r="C633" s="35"/>
      <c r="D633" s="50"/>
      <c r="F633" s="51">
        <f>SUMIFS('MOVIMENTAÇÃO'!$E:$E,'MOVIMENTAÇÃO'!$C:$C,A633,'MOVIMENTAÇÃO'!$B:$B,"PERDA")</f>
        <v>0</v>
      </c>
      <c r="G633" s="51">
        <f t="shared" si="2"/>
        <v>0</v>
      </c>
      <c r="I633" s="34"/>
    </row>
    <row r="634" ht="22.5" customHeight="1">
      <c r="A634" s="35"/>
      <c r="B634" s="35"/>
      <c r="C634" s="35"/>
      <c r="D634" s="50"/>
      <c r="F634" s="51">
        <f>SUMIFS('MOVIMENTAÇÃO'!$E:$E,'MOVIMENTAÇÃO'!$C:$C,A634,'MOVIMENTAÇÃO'!$B:$B,"PERDA")</f>
        <v>0</v>
      </c>
      <c r="G634" s="51">
        <f t="shared" si="2"/>
        <v>0</v>
      </c>
      <c r="I634" s="34"/>
    </row>
    <row r="635" ht="22.5" customHeight="1">
      <c r="A635" s="35"/>
      <c r="B635" s="35"/>
      <c r="C635" s="35"/>
      <c r="D635" s="50"/>
      <c r="F635" s="51">
        <f>SUMIFS('MOVIMENTAÇÃO'!$E:$E,'MOVIMENTAÇÃO'!$C:$C,A635,'MOVIMENTAÇÃO'!$B:$B,"PERDA")</f>
        <v>0</v>
      </c>
      <c r="G635" s="51">
        <f t="shared" si="2"/>
        <v>0</v>
      </c>
      <c r="I635" s="34"/>
    </row>
    <row r="636" ht="22.5" customHeight="1">
      <c r="A636" s="35"/>
      <c r="B636" s="35"/>
      <c r="C636" s="35"/>
      <c r="D636" s="50"/>
      <c r="F636" s="51">
        <f>SUMIFS('MOVIMENTAÇÃO'!$E:$E,'MOVIMENTAÇÃO'!$C:$C,A636,'MOVIMENTAÇÃO'!$B:$B,"PERDA")</f>
        <v>0</v>
      </c>
      <c r="G636" s="51">
        <f t="shared" si="2"/>
        <v>0</v>
      </c>
      <c r="I636" s="34"/>
    </row>
    <row r="637" ht="22.5" customHeight="1">
      <c r="A637" s="35"/>
      <c r="B637" s="35"/>
      <c r="C637" s="35"/>
      <c r="D637" s="50"/>
      <c r="F637" s="51">
        <f>SUMIFS('MOVIMENTAÇÃO'!$E:$E,'MOVIMENTAÇÃO'!$C:$C,A637,'MOVIMENTAÇÃO'!$B:$B,"PERDA")</f>
        <v>0</v>
      </c>
      <c r="G637" s="51">
        <f t="shared" si="2"/>
        <v>0</v>
      </c>
      <c r="I637" s="34"/>
    </row>
    <row r="638" ht="22.5" customHeight="1">
      <c r="A638" s="35"/>
      <c r="B638" s="35"/>
      <c r="C638" s="35"/>
      <c r="D638" s="50"/>
      <c r="F638" s="51">
        <f>SUMIFS('MOVIMENTAÇÃO'!$E:$E,'MOVIMENTAÇÃO'!$C:$C,A638,'MOVIMENTAÇÃO'!$B:$B,"PERDA")</f>
        <v>0</v>
      </c>
      <c r="G638" s="51">
        <f t="shared" si="2"/>
        <v>0</v>
      </c>
      <c r="I638" s="34"/>
    </row>
    <row r="639" ht="22.5" customHeight="1">
      <c r="A639" s="35"/>
      <c r="B639" s="35"/>
      <c r="C639" s="35"/>
      <c r="D639" s="50"/>
      <c r="F639" s="51">
        <f>SUMIFS('MOVIMENTAÇÃO'!$E:$E,'MOVIMENTAÇÃO'!$C:$C,A639,'MOVIMENTAÇÃO'!$B:$B,"PERDA")</f>
        <v>0</v>
      </c>
      <c r="G639" s="51">
        <f t="shared" si="2"/>
        <v>0</v>
      </c>
      <c r="I639" s="34"/>
    </row>
    <row r="640" ht="22.5" customHeight="1">
      <c r="A640" s="35"/>
      <c r="B640" s="35"/>
      <c r="C640" s="35"/>
      <c r="D640" s="50"/>
      <c r="F640" s="51">
        <f>SUMIFS('MOVIMENTAÇÃO'!$E:$E,'MOVIMENTAÇÃO'!$C:$C,A640,'MOVIMENTAÇÃO'!$B:$B,"PERDA")</f>
        <v>0</v>
      </c>
      <c r="G640" s="51">
        <f t="shared" si="2"/>
        <v>0</v>
      </c>
      <c r="I640" s="34"/>
    </row>
    <row r="641" ht="22.5" customHeight="1">
      <c r="A641" s="35"/>
      <c r="B641" s="35"/>
      <c r="C641" s="35"/>
      <c r="D641" s="50"/>
      <c r="F641" s="51">
        <f>SUMIFS('MOVIMENTAÇÃO'!$E:$E,'MOVIMENTAÇÃO'!$C:$C,A641,'MOVIMENTAÇÃO'!$B:$B,"PERDA")</f>
        <v>0</v>
      </c>
      <c r="G641" s="51">
        <f t="shared" si="2"/>
        <v>0</v>
      </c>
      <c r="I641" s="34"/>
    </row>
    <row r="642" ht="22.5" customHeight="1">
      <c r="A642" s="35"/>
      <c r="B642" s="35"/>
      <c r="C642" s="35"/>
      <c r="D642" s="50"/>
      <c r="F642" s="51">
        <f>SUMIFS('MOVIMENTAÇÃO'!$E:$E,'MOVIMENTAÇÃO'!$C:$C,A642,'MOVIMENTAÇÃO'!$B:$B,"PERDA")</f>
        <v>0</v>
      </c>
      <c r="G642" s="51">
        <f t="shared" si="2"/>
        <v>0</v>
      </c>
      <c r="I642" s="34"/>
    </row>
    <row r="643" ht="22.5" customHeight="1">
      <c r="A643" s="35"/>
      <c r="B643" s="35"/>
      <c r="C643" s="35"/>
      <c r="D643" s="50"/>
      <c r="F643" s="51">
        <f>SUMIFS('MOVIMENTAÇÃO'!$E:$E,'MOVIMENTAÇÃO'!$C:$C,A643,'MOVIMENTAÇÃO'!$B:$B,"PERDA")</f>
        <v>0</v>
      </c>
      <c r="G643" s="51">
        <f t="shared" si="2"/>
        <v>0</v>
      </c>
      <c r="I643" s="34"/>
    </row>
    <row r="644" ht="22.5" customHeight="1">
      <c r="A644" s="35"/>
      <c r="B644" s="35"/>
      <c r="C644" s="35"/>
      <c r="D644" s="50"/>
      <c r="F644" s="51">
        <f>SUMIFS('MOVIMENTAÇÃO'!$E:$E,'MOVIMENTAÇÃO'!$C:$C,A644,'MOVIMENTAÇÃO'!$B:$B,"PERDA")</f>
        <v>0</v>
      </c>
      <c r="G644" s="51">
        <f t="shared" si="2"/>
        <v>0</v>
      </c>
      <c r="I644" s="34"/>
    </row>
    <row r="645" ht="22.5" customHeight="1">
      <c r="A645" s="35"/>
      <c r="B645" s="35"/>
      <c r="C645" s="35"/>
      <c r="D645" s="50"/>
      <c r="F645" s="51">
        <f>SUMIFS('MOVIMENTAÇÃO'!$E:$E,'MOVIMENTAÇÃO'!$C:$C,A645,'MOVIMENTAÇÃO'!$B:$B,"PERDA")</f>
        <v>0</v>
      </c>
      <c r="G645" s="51">
        <f t="shared" si="2"/>
        <v>0</v>
      </c>
      <c r="I645" s="34"/>
    </row>
    <row r="646" ht="22.5" customHeight="1">
      <c r="A646" s="35"/>
      <c r="B646" s="35"/>
      <c r="C646" s="35"/>
      <c r="D646" s="50"/>
      <c r="F646" s="51">
        <f>SUMIFS('MOVIMENTAÇÃO'!$E:$E,'MOVIMENTAÇÃO'!$C:$C,A646,'MOVIMENTAÇÃO'!$B:$B,"PERDA")</f>
        <v>0</v>
      </c>
      <c r="G646" s="51">
        <f t="shared" si="2"/>
        <v>0</v>
      </c>
      <c r="I646" s="34"/>
    </row>
    <row r="647" ht="22.5" customHeight="1">
      <c r="A647" s="35"/>
      <c r="B647" s="35"/>
      <c r="C647" s="35"/>
      <c r="D647" s="50"/>
      <c r="F647" s="51">
        <f>SUMIFS('MOVIMENTAÇÃO'!$E:$E,'MOVIMENTAÇÃO'!$C:$C,A647,'MOVIMENTAÇÃO'!$B:$B,"PERDA")</f>
        <v>0</v>
      </c>
      <c r="G647" s="51">
        <f t="shared" si="2"/>
        <v>0</v>
      </c>
      <c r="I647" s="34"/>
    </row>
    <row r="648" ht="22.5" customHeight="1">
      <c r="A648" s="35"/>
      <c r="B648" s="35"/>
      <c r="C648" s="35"/>
      <c r="D648" s="50"/>
      <c r="F648" s="51">
        <f>SUMIFS('MOVIMENTAÇÃO'!$E:$E,'MOVIMENTAÇÃO'!$C:$C,A648,'MOVIMENTAÇÃO'!$B:$B,"PERDA")</f>
        <v>0</v>
      </c>
      <c r="G648" s="51">
        <f t="shared" si="2"/>
        <v>0</v>
      </c>
      <c r="I648" s="34"/>
    </row>
    <row r="649" ht="22.5" customHeight="1">
      <c r="A649" s="35"/>
      <c r="B649" s="35"/>
      <c r="C649" s="35"/>
      <c r="D649" s="50"/>
      <c r="F649" s="51">
        <f>SUMIFS('MOVIMENTAÇÃO'!$E:$E,'MOVIMENTAÇÃO'!$C:$C,A649,'MOVIMENTAÇÃO'!$B:$B,"PERDA")</f>
        <v>0</v>
      </c>
      <c r="G649" s="51">
        <f t="shared" si="2"/>
        <v>0</v>
      </c>
      <c r="I649" s="34"/>
    </row>
    <row r="650" ht="22.5" customHeight="1">
      <c r="A650" s="35"/>
      <c r="B650" s="35"/>
      <c r="C650" s="35"/>
      <c r="D650" s="50"/>
      <c r="F650" s="51">
        <f>SUMIFS('MOVIMENTAÇÃO'!$E:$E,'MOVIMENTAÇÃO'!$C:$C,A650,'MOVIMENTAÇÃO'!$B:$B,"PERDA")</f>
        <v>0</v>
      </c>
      <c r="G650" s="51">
        <f t="shared" si="2"/>
        <v>0</v>
      </c>
      <c r="I650" s="34"/>
    </row>
    <row r="651" ht="22.5" customHeight="1">
      <c r="A651" s="35"/>
      <c r="B651" s="35"/>
      <c r="C651" s="35"/>
      <c r="D651" s="50"/>
      <c r="F651" s="51">
        <f>SUMIFS('MOVIMENTAÇÃO'!$E:$E,'MOVIMENTAÇÃO'!$C:$C,A651,'MOVIMENTAÇÃO'!$B:$B,"PERDA")</f>
        <v>0</v>
      </c>
      <c r="G651" s="51">
        <f t="shared" si="2"/>
        <v>0</v>
      </c>
      <c r="I651" s="34"/>
    </row>
    <row r="652" ht="22.5" customHeight="1">
      <c r="A652" s="35"/>
      <c r="B652" s="35"/>
      <c r="C652" s="35"/>
      <c r="D652" s="50"/>
      <c r="F652" s="51">
        <f>SUMIFS('MOVIMENTAÇÃO'!$E:$E,'MOVIMENTAÇÃO'!$C:$C,A652,'MOVIMENTAÇÃO'!$B:$B,"PERDA")</f>
        <v>0</v>
      </c>
      <c r="G652" s="51">
        <f t="shared" si="2"/>
        <v>0</v>
      </c>
      <c r="I652" s="34"/>
    </row>
    <row r="653" ht="22.5" customHeight="1">
      <c r="A653" s="35"/>
      <c r="B653" s="35"/>
      <c r="C653" s="35"/>
      <c r="D653" s="50"/>
      <c r="F653" s="51">
        <f>SUMIFS('MOVIMENTAÇÃO'!$E:$E,'MOVIMENTAÇÃO'!$C:$C,A653,'MOVIMENTAÇÃO'!$B:$B,"PERDA")</f>
        <v>0</v>
      </c>
      <c r="G653" s="51">
        <f t="shared" si="2"/>
        <v>0</v>
      </c>
      <c r="I653" s="34"/>
    </row>
    <row r="654" ht="22.5" customHeight="1">
      <c r="A654" s="35"/>
      <c r="B654" s="35"/>
      <c r="C654" s="35"/>
      <c r="D654" s="50"/>
      <c r="F654" s="51">
        <f>SUMIFS('MOVIMENTAÇÃO'!$E:$E,'MOVIMENTAÇÃO'!$C:$C,A654,'MOVIMENTAÇÃO'!$B:$B,"PERDA")</f>
        <v>0</v>
      </c>
      <c r="G654" s="51">
        <f t="shared" si="2"/>
        <v>0</v>
      </c>
      <c r="I654" s="34"/>
    </row>
    <row r="655" ht="22.5" customHeight="1">
      <c r="A655" s="35"/>
      <c r="B655" s="35"/>
      <c r="C655" s="35"/>
      <c r="D655" s="50"/>
      <c r="F655" s="51">
        <f>SUMIFS('MOVIMENTAÇÃO'!$E:$E,'MOVIMENTAÇÃO'!$C:$C,A655,'MOVIMENTAÇÃO'!$B:$B,"PERDA")</f>
        <v>0</v>
      </c>
      <c r="G655" s="51">
        <f t="shared" si="2"/>
        <v>0</v>
      </c>
      <c r="I655" s="34"/>
    </row>
    <row r="656" ht="22.5" customHeight="1">
      <c r="A656" s="35"/>
      <c r="B656" s="35"/>
      <c r="C656" s="35"/>
      <c r="D656" s="50"/>
      <c r="F656" s="51">
        <f>SUMIFS('MOVIMENTAÇÃO'!$E:$E,'MOVIMENTAÇÃO'!$C:$C,A656,'MOVIMENTAÇÃO'!$B:$B,"PERDA")</f>
        <v>0</v>
      </c>
      <c r="G656" s="51">
        <f t="shared" si="2"/>
        <v>0</v>
      </c>
      <c r="I656" s="34"/>
    </row>
    <row r="657" ht="22.5" customHeight="1">
      <c r="A657" s="35"/>
      <c r="B657" s="35"/>
      <c r="C657" s="35"/>
      <c r="D657" s="50"/>
      <c r="F657" s="51">
        <f>SUMIFS('MOVIMENTAÇÃO'!$E:$E,'MOVIMENTAÇÃO'!$C:$C,A657,'MOVIMENTAÇÃO'!$B:$B,"PERDA")</f>
        <v>0</v>
      </c>
      <c r="G657" s="51">
        <f t="shared" si="2"/>
        <v>0</v>
      </c>
      <c r="I657" s="34"/>
    </row>
    <row r="658" ht="22.5" customHeight="1">
      <c r="A658" s="35"/>
      <c r="B658" s="35"/>
      <c r="C658" s="35"/>
      <c r="D658" s="50"/>
      <c r="F658" s="51">
        <f>SUMIFS('MOVIMENTAÇÃO'!$E:$E,'MOVIMENTAÇÃO'!$C:$C,A658,'MOVIMENTAÇÃO'!$B:$B,"PERDA")</f>
        <v>0</v>
      </c>
      <c r="G658" s="51">
        <f t="shared" si="2"/>
        <v>0</v>
      </c>
      <c r="I658" s="34"/>
    </row>
    <row r="659" ht="22.5" customHeight="1">
      <c r="A659" s="35"/>
      <c r="B659" s="35"/>
      <c r="C659" s="35"/>
      <c r="D659" s="50"/>
      <c r="F659" s="51">
        <f>SUMIFS('MOVIMENTAÇÃO'!$E:$E,'MOVIMENTAÇÃO'!$C:$C,A659,'MOVIMENTAÇÃO'!$B:$B,"PERDA")</f>
        <v>0</v>
      </c>
      <c r="G659" s="51">
        <f t="shared" si="2"/>
        <v>0</v>
      </c>
      <c r="I659" s="34"/>
    </row>
    <row r="660" ht="22.5" customHeight="1">
      <c r="A660" s="35"/>
      <c r="B660" s="35"/>
      <c r="C660" s="35"/>
      <c r="D660" s="50"/>
      <c r="F660" s="51">
        <f>SUMIFS('MOVIMENTAÇÃO'!$E:$E,'MOVIMENTAÇÃO'!$C:$C,A660,'MOVIMENTAÇÃO'!$B:$B,"PERDA")</f>
        <v>0</v>
      </c>
      <c r="G660" s="51">
        <f t="shared" si="2"/>
        <v>0</v>
      </c>
      <c r="I660" s="34"/>
    </row>
    <row r="661" ht="22.5" customHeight="1">
      <c r="A661" s="35"/>
      <c r="B661" s="35"/>
      <c r="C661" s="35"/>
      <c r="D661" s="50"/>
      <c r="F661" s="51">
        <f>SUMIFS('MOVIMENTAÇÃO'!$E:$E,'MOVIMENTAÇÃO'!$C:$C,A661,'MOVIMENTAÇÃO'!$B:$B,"PERDA")</f>
        <v>0</v>
      </c>
      <c r="G661" s="51">
        <f t="shared" si="2"/>
        <v>0</v>
      </c>
      <c r="I661" s="34"/>
    </row>
    <row r="662" ht="22.5" customHeight="1">
      <c r="A662" s="35"/>
      <c r="B662" s="35"/>
      <c r="C662" s="35"/>
      <c r="D662" s="50"/>
      <c r="F662" s="51">
        <f>SUMIFS('MOVIMENTAÇÃO'!$E:$E,'MOVIMENTAÇÃO'!$C:$C,A662,'MOVIMENTAÇÃO'!$B:$B,"PERDA")</f>
        <v>0</v>
      </c>
      <c r="G662" s="51">
        <f t="shared" si="2"/>
        <v>0</v>
      </c>
      <c r="I662" s="34"/>
    </row>
    <row r="663" ht="22.5" customHeight="1">
      <c r="A663" s="35"/>
      <c r="B663" s="35"/>
      <c r="C663" s="35"/>
      <c r="D663" s="50"/>
      <c r="F663" s="51">
        <f>SUMIFS('MOVIMENTAÇÃO'!$E:$E,'MOVIMENTAÇÃO'!$C:$C,A663,'MOVIMENTAÇÃO'!$B:$B,"PERDA")</f>
        <v>0</v>
      </c>
      <c r="G663" s="51">
        <f t="shared" si="2"/>
        <v>0</v>
      </c>
      <c r="I663" s="34"/>
    </row>
    <row r="664" ht="22.5" customHeight="1">
      <c r="A664" s="35"/>
      <c r="B664" s="35"/>
      <c r="C664" s="35"/>
      <c r="D664" s="50"/>
      <c r="F664" s="51">
        <f>SUMIFS('MOVIMENTAÇÃO'!$E:$E,'MOVIMENTAÇÃO'!$C:$C,A664,'MOVIMENTAÇÃO'!$B:$B,"PERDA")</f>
        <v>0</v>
      </c>
      <c r="G664" s="51">
        <f t="shared" si="2"/>
        <v>0</v>
      </c>
      <c r="I664" s="34"/>
    </row>
    <row r="665" ht="22.5" customHeight="1">
      <c r="A665" s="35"/>
      <c r="B665" s="35"/>
      <c r="C665" s="35"/>
      <c r="D665" s="50"/>
      <c r="F665" s="51">
        <f>SUMIFS('MOVIMENTAÇÃO'!$E:$E,'MOVIMENTAÇÃO'!$C:$C,A665,'MOVIMENTAÇÃO'!$B:$B,"PERDA")</f>
        <v>0</v>
      </c>
      <c r="G665" s="51">
        <f t="shared" si="2"/>
        <v>0</v>
      </c>
      <c r="I665" s="34"/>
    </row>
    <row r="666" ht="22.5" customHeight="1">
      <c r="A666" s="35"/>
      <c r="B666" s="35"/>
      <c r="C666" s="35"/>
      <c r="D666" s="50"/>
      <c r="F666" s="51">
        <f>SUMIFS('MOVIMENTAÇÃO'!$E:$E,'MOVIMENTAÇÃO'!$C:$C,A666,'MOVIMENTAÇÃO'!$B:$B,"PERDA")</f>
        <v>0</v>
      </c>
      <c r="G666" s="51">
        <f t="shared" si="2"/>
        <v>0</v>
      </c>
      <c r="I666" s="34"/>
    </row>
    <row r="667" ht="22.5" customHeight="1">
      <c r="A667" s="35"/>
      <c r="B667" s="35"/>
      <c r="C667" s="35"/>
      <c r="D667" s="50"/>
      <c r="F667" s="51">
        <f>SUMIFS('MOVIMENTAÇÃO'!$E:$E,'MOVIMENTAÇÃO'!$C:$C,A667,'MOVIMENTAÇÃO'!$B:$B,"PERDA")</f>
        <v>0</v>
      </c>
      <c r="G667" s="51">
        <f t="shared" si="2"/>
        <v>0</v>
      </c>
      <c r="I667" s="34"/>
    </row>
    <row r="668" ht="22.5" customHeight="1">
      <c r="A668" s="35"/>
      <c r="B668" s="35"/>
      <c r="C668" s="35"/>
      <c r="D668" s="50"/>
      <c r="F668" s="51">
        <f>SUMIFS('MOVIMENTAÇÃO'!$E:$E,'MOVIMENTAÇÃO'!$C:$C,A668,'MOVIMENTAÇÃO'!$B:$B,"PERDA")</f>
        <v>0</v>
      </c>
      <c r="G668" s="51">
        <f t="shared" si="2"/>
        <v>0</v>
      </c>
      <c r="I668" s="34"/>
    </row>
    <row r="669" ht="22.5" customHeight="1">
      <c r="A669" s="35"/>
      <c r="B669" s="35"/>
      <c r="C669" s="35"/>
      <c r="D669" s="50"/>
      <c r="F669" s="51">
        <f>SUMIFS('MOVIMENTAÇÃO'!$E:$E,'MOVIMENTAÇÃO'!$C:$C,A669,'MOVIMENTAÇÃO'!$B:$B,"PERDA")</f>
        <v>0</v>
      </c>
      <c r="G669" s="51">
        <f t="shared" si="2"/>
        <v>0</v>
      </c>
      <c r="I669" s="34"/>
    </row>
    <row r="670" ht="22.5" customHeight="1">
      <c r="A670" s="35"/>
      <c r="B670" s="35"/>
      <c r="C670" s="35"/>
      <c r="D670" s="50"/>
      <c r="F670" s="51">
        <f>SUMIFS('MOVIMENTAÇÃO'!$E:$E,'MOVIMENTAÇÃO'!$C:$C,A670,'MOVIMENTAÇÃO'!$B:$B,"PERDA")</f>
        <v>0</v>
      </c>
      <c r="G670" s="51">
        <f t="shared" si="2"/>
        <v>0</v>
      </c>
      <c r="I670" s="34"/>
    </row>
    <row r="671" ht="22.5" customHeight="1">
      <c r="A671" s="35"/>
      <c r="B671" s="35"/>
      <c r="C671" s="35"/>
      <c r="D671" s="50"/>
      <c r="F671" s="51">
        <f>SUMIFS('MOVIMENTAÇÃO'!$E:$E,'MOVIMENTAÇÃO'!$C:$C,A671,'MOVIMENTAÇÃO'!$B:$B,"PERDA")</f>
        <v>0</v>
      </c>
      <c r="G671" s="51">
        <f t="shared" si="2"/>
        <v>0</v>
      </c>
      <c r="I671" s="34"/>
    </row>
    <row r="672" ht="22.5" customHeight="1">
      <c r="A672" s="35"/>
      <c r="B672" s="35"/>
      <c r="C672" s="35"/>
      <c r="D672" s="50"/>
      <c r="F672" s="51">
        <f>SUMIFS('MOVIMENTAÇÃO'!$E:$E,'MOVIMENTAÇÃO'!$C:$C,A672,'MOVIMENTAÇÃO'!$B:$B,"PERDA")</f>
        <v>0</v>
      </c>
      <c r="G672" s="51">
        <f t="shared" si="2"/>
        <v>0</v>
      </c>
      <c r="I672" s="34"/>
    </row>
    <row r="673" ht="22.5" customHeight="1">
      <c r="A673" s="35"/>
      <c r="B673" s="35"/>
      <c r="C673" s="35"/>
      <c r="D673" s="50"/>
      <c r="F673" s="51">
        <f>SUMIFS('MOVIMENTAÇÃO'!$E:$E,'MOVIMENTAÇÃO'!$C:$C,A673,'MOVIMENTAÇÃO'!$B:$B,"PERDA")</f>
        <v>0</v>
      </c>
      <c r="G673" s="51">
        <f t="shared" si="2"/>
        <v>0</v>
      </c>
      <c r="I673" s="34"/>
    </row>
    <row r="674" ht="22.5" customHeight="1">
      <c r="A674" s="35"/>
      <c r="B674" s="35"/>
      <c r="C674" s="35"/>
      <c r="D674" s="50"/>
      <c r="F674" s="51">
        <f>SUMIFS('MOVIMENTAÇÃO'!$E:$E,'MOVIMENTAÇÃO'!$C:$C,A674,'MOVIMENTAÇÃO'!$B:$B,"PERDA")</f>
        <v>0</v>
      </c>
      <c r="G674" s="51">
        <f t="shared" si="2"/>
        <v>0</v>
      </c>
      <c r="I674" s="34"/>
    </row>
    <row r="675" ht="22.5" customHeight="1">
      <c r="A675" s="35"/>
      <c r="B675" s="35"/>
      <c r="C675" s="35"/>
      <c r="D675" s="50"/>
      <c r="F675" s="51">
        <f>SUMIFS('MOVIMENTAÇÃO'!$E:$E,'MOVIMENTAÇÃO'!$C:$C,A675,'MOVIMENTAÇÃO'!$B:$B,"PERDA")</f>
        <v>0</v>
      </c>
      <c r="G675" s="51">
        <f t="shared" si="2"/>
        <v>0</v>
      </c>
      <c r="I675" s="34"/>
    </row>
    <row r="676" ht="22.5" customHeight="1">
      <c r="A676" s="35"/>
      <c r="B676" s="35"/>
      <c r="C676" s="35"/>
      <c r="D676" s="50"/>
      <c r="F676" s="51">
        <f>SUMIFS('MOVIMENTAÇÃO'!$E:$E,'MOVIMENTAÇÃO'!$C:$C,A676,'MOVIMENTAÇÃO'!$B:$B,"PERDA")</f>
        <v>0</v>
      </c>
      <c r="G676" s="51">
        <f t="shared" si="2"/>
        <v>0</v>
      </c>
      <c r="I676" s="34"/>
    </row>
    <row r="677" ht="22.5" customHeight="1">
      <c r="A677" s="35"/>
      <c r="B677" s="35"/>
      <c r="C677" s="35"/>
      <c r="D677" s="50"/>
      <c r="F677" s="51">
        <f>SUMIFS('MOVIMENTAÇÃO'!$E:$E,'MOVIMENTAÇÃO'!$C:$C,A677,'MOVIMENTAÇÃO'!$B:$B,"PERDA")</f>
        <v>0</v>
      </c>
      <c r="G677" s="51">
        <f t="shared" si="2"/>
        <v>0</v>
      </c>
      <c r="I677" s="34"/>
    </row>
    <row r="678" ht="22.5" customHeight="1">
      <c r="A678" s="35"/>
      <c r="B678" s="35"/>
      <c r="C678" s="35"/>
      <c r="D678" s="50"/>
      <c r="F678" s="51">
        <f>SUMIFS('MOVIMENTAÇÃO'!$E:$E,'MOVIMENTAÇÃO'!$C:$C,A678,'MOVIMENTAÇÃO'!$B:$B,"PERDA")</f>
        <v>0</v>
      </c>
      <c r="G678" s="51">
        <f t="shared" si="2"/>
        <v>0</v>
      </c>
      <c r="I678" s="34"/>
    </row>
    <row r="679" ht="22.5" customHeight="1">
      <c r="A679" s="35"/>
      <c r="B679" s="35"/>
      <c r="C679" s="35"/>
      <c r="D679" s="50"/>
      <c r="F679" s="51">
        <f>SUMIFS('MOVIMENTAÇÃO'!$E:$E,'MOVIMENTAÇÃO'!$C:$C,A679,'MOVIMENTAÇÃO'!$B:$B,"PERDA")</f>
        <v>0</v>
      </c>
      <c r="G679" s="51">
        <f t="shared" si="2"/>
        <v>0</v>
      </c>
      <c r="I679" s="34"/>
    </row>
    <row r="680" ht="22.5" customHeight="1">
      <c r="A680" s="35"/>
      <c r="B680" s="35"/>
      <c r="C680" s="35"/>
      <c r="D680" s="50"/>
      <c r="F680" s="51">
        <f>SUMIFS('MOVIMENTAÇÃO'!$E:$E,'MOVIMENTAÇÃO'!$C:$C,A680,'MOVIMENTAÇÃO'!$B:$B,"PERDA")</f>
        <v>0</v>
      </c>
      <c r="G680" s="51">
        <f t="shared" si="2"/>
        <v>0</v>
      </c>
      <c r="I680" s="34"/>
    </row>
    <row r="681" ht="22.5" customHeight="1">
      <c r="A681" s="35"/>
      <c r="B681" s="35"/>
      <c r="C681" s="35"/>
      <c r="D681" s="50"/>
      <c r="F681" s="51">
        <f>SUMIFS('MOVIMENTAÇÃO'!$E:$E,'MOVIMENTAÇÃO'!$C:$C,A681,'MOVIMENTAÇÃO'!$B:$B,"PERDA")</f>
        <v>0</v>
      </c>
      <c r="G681" s="51">
        <f t="shared" si="2"/>
        <v>0</v>
      </c>
      <c r="I681" s="34"/>
    </row>
    <row r="682" ht="22.5" customHeight="1">
      <c r="A682" s="35"/>
      <c r="B682" s="35"/>
      <c r="C682" s="35"/>
      <c r="D682" s="50"/>
      <c r="F682" s="51">
        <f>SUMIFS('MOVIMENTAÇÃO'!$E:$E,'MOVIMENTAÇÃO'!$C:$C,A682,'MOVIMENTAÇÃO'!$B:$B,"PERDA")</f>
        <v>0</v>
      </c>
      <c r="G682" s="51">
        <f t="shared" si="2"/>
        <v>0</v>
      </c>
      <c r="I682" s="34"/>
    </row>
    <row r="683" ht="22.5" customHeight="1">
      <c r="A683" s="35"/>
      <c r="B683" s="35"/>
      <c r="C683" s="35"/>
      <c r="D683" s="50"/>
      <c r="F683" s="51">
        <f>SUMIFS('MOVIMENTAÇÃO'!$E:$E,'MOVIMENTAÇÃO'!$C:$C,A683,'MOVIMENTAÇÃO'!$B:$B,"PERDA")</f>
        <v>0</v>
      </c>
      <c r="G683" s="51">
        <f t="shared" si="2"/>
        <v>0</v>
      </c>
      <c r="I683" s="34"/>
    </row>
    <row r="684" ht="22.5" customHeight="1">
      <c r="A684" s="35"/>
      <c r="B684" s="35"/>
      <c r="C684" s="35"/>
      <c r="D684" s="50"/>
      <c r="F684" s="51">
        <f>SUMIFS('MOVIMENTAÇÃO'!$E:$E,'MOVIMENTAÇÃO'!$C:$C,A684,'MOVIMENTAÇÃO'!$B:$B,"PERDA")</f>
        <v>0</v>
      </c>
      <c r="G684" s="51">
        <f t="shared" si="2"/>
        <v>0</v>
      </c>
      <c r="I684" s="34"/>
    </row>
    <row r="685" ht="22.5" customHeight="1">
      <c r="A685" s="35"/>
      <c r="B685" s="35"/>
      <c r="C685" s="35"/>
      <c r="D685" s="50"/>
      <c r="F685" s="51">
        <f>SUMIFS('MOVIMENTAÇÃO'!$E:$E,'MOVIMENTAÇÃO'!$C:$C,A685,'MOVIMENTAÇÃO'!$B:$B,"PERDA")</f>
        <v>0</v>
      </c>
      <c r="G685" s="51">
        <f t="shared" si="2"/>
        <v>0</v>
      </c>
      <c r="I685" s="34"/>
    </row>
    <row r="686" ht="22.5" customHeight="1">
      <c r="A686" s="35"/>
      <c r="B686" s="35"/>
      <c r="C686" s="35"/>
      <c r="D686" s="50"/>
      <c r="F686" s="51">
        <f>SUMIFS('MOVIMENTAÇÃO'!$E:$E,'MOVIMENTAÇÃO'!$C:$C,A686,'MOVIMENTAÇÃO'!$B:$B,"PERDA")</f>
        <v>0</v>
      </c>
      <c r="G686" s="51">
        <f t="shared" si="2"/>
        <v>0</v>
      </c>
      <c r="I686" s="34"/>
    </row>
    <row r="687" ht="22.5" customHeight="1">
      <c r="A687" s="35"/>
      <c r="B687" s="35"/>
      <c r="C687" s="35"/>
      <c r="D687" s="50"/>
      <c r="F687" s="51">
        <f>SUMIFS('MOVIMENTAÇÃO'!$E:$E,'MOVIMENTAÇÃO'!$C:$C,A687,'MOVIMENTAÇÃO'!$B:$B,"PERDA")</f>
        <v>0</v>
      </c>
      <c r="G687" s="51">
        <f t="shared" si="2"/>
        <v>0</v>
      </c>
      <c r="I687" s="34"/>
    </row>
    <row r="688" ht="22.5" customHeight="1">
      <c r="A688" s="35"/>
      <c r="B688" s="35"/>
      <c r="C688" s="35"/>
      <c r="D688" s="50"/>
      <c r="F688" s="51">
        <f>SUMIFS('MOVIMENTAÇÃO'!$E:$E,'MOVIMENTAÇÃO'!$C:$C,A688,'MOVIMENTAÇÃO'!$B:$B,"PERDA")</f>
        <v>0</v>
      </c>
      <c r="G688" s="51">
        <f t="shared" si="2"/>
        <v>0</v>
      </c>
      <c r="I688" s="34"/>
    </row>
    <row r="689" ht="22.5" customHeight="1">
      <c r="A689" s="35"/>
      <c r="B689" s="35"/>
      <c r="C689" s="35"/>
      <c r="D689" s="50"/>
      <c r="F689" s="51">
        <f>SUMIFS('MOVIMENTAÇÃO'!$E:$E,'MOVIMENTAÇÃO'!$C:$C,A689,'MOVIMENTAÇÃO'!$B:$B,"PERDA")</f>
        <v>0</v>
      </c>
      <c r="G689" s="51">
        <f t="shared" si="2"/>
        <v>0</v>
      </c>
      <c r="I689" s="34"/>
    </row>
    <row r="690" ht="22.5" customHeight="1">
      <c r="A690" s="35"/>
      <c r="B690" s="35"/>
      <c r="C690" s="35"/>
      <c r="D690" s="50"/>
      <c r="F690" s="51">
        <f>SUMIFS('MOVIMENTAÇÃO'!$E:$E,'MOVIMENTAÇÃO'!$C:$C,A690,'MOVIMENTAÇÃO'!$B:$B,"PERDA")</f>
        <v>0</v>
      </c>
      <c r="G690" s="51">
        <f t="shared" si="2"/>
        <v>0</v>
      </c>
      <c r="I690" s="34"/>
    </row>
    <row r="691" ht="22.5" customHeight="1">
      <c r="A691" s="35"/>
      <c r="B691" s="35"/>
      <c r="C691" s="35"/>
      <c r="D691" s="50"/>
      <c r="F691" s="51">
        <f>SUMIFS('MOVIMENTAÇÃO'!$E:$E,'MOVIMENTAÇÃO'!$C:$C,A691,'MOVIMENTAÇÃO'!$B:$B,"PERDA")</f>
        <v>0</v>
      </c>
      <c r="G691" s="51">
        <f t="shared" si="2"/>
        <v>0</v>
      </c>
      <c r="I691" s="34"/>
    </row>
    <row r="692" ht="22.5" customHeight="1">
      <c r="A692" s="35"/>
      <c r="B692" s="35"/>
      <c r="C692" s="35"/>
      <c r="D692" s="50"/>
      <c r="F692" s="51">
        <f>SUMIFS('MOVIMENTAÇÃO'!$E:$E,'MOVIMENTAÇÃO'!$C:$C,A692,'MOVIMENTAÇÃO'!$B:$B,"PERDA")</f>
        <v>0</v>
      </c>
      <c r="G692" s="51">
        <f t="shared" si="2"/>
        <v>0</v>
      </c>
      <c r="I692" s="34"/>
    </row>
    <row r="693" ht="22.5" customHeight="1">
      <c r="A693" s="35"/>
      <c r="B693" s="35"/>
      <c r="C693" s="35"/>
      <c r="D693" s="50"/>
      <c r="F693" s="51">
        <f>SUMIFS('MOVIMENTAÇÃO'!$E:$E,'MOVIMENTAÇÃO'!$C:$C,A693,'MOVIMENTAÇÃO'!$B:$B,"PERDA")</f>
        <v>0</v>
      </c>
      <c r="G693" s="51">
        <f t="shared" si="2"/>
        <v>0</v>
      </c>
      <c r="I693" s="34"/>
    </row>
    <row r="694" ht="22.5" customHeight="1">
      <c r="A694" s="35"/>
      <c r="B694" s="35"/>
      <c r="C694" s="35"/>
      <c r="D694" s="50"/>
      <c r="F694" s="51">
        <f>SUMIFS('MOVIMENTAÇÃO'!$E:$E,'MOVIMENTAÇÃO'!$C:$C,A694,'MOVIMENTAÇÃO'!$B:$B,"PERDA")</f>
        <v>0</v>
      </c>
      <c r="G694" s="51">
        <f t="shared" si="2"/>
        <v>0</v>
      </c>
      <c r="I694" s="34"/>
    </row>
    <row r="695" ht="22.5" customHeight="1">
      <c r="A695" s="35"/>
      <c r="B695" s="35"/>
      <c r="C695" s="35"/>
      <c r="D695" s="50"/>
      <c r="F695" s="51">
        <f>SUMIFS('MOVIMENTAÇÃO'!$E:$E,'MOVIMENTAÇÃO'!$C:$C,A695,'MOVIMENTAÇÃO'!$B:$B,"PERDA")</f>
        <v>0</v>
      </c>
      <c r="G695" s="51">
        <f t="shared" si="2"/>
        <v>0</v>
      </c>
      <c r="I695" s="34"/>
    </row>
    <row r="696" ht="22.5" customHeight="1">
      <c r="A696" s="35"/>
      <c r="B696" s="35"/>
      <c r="C696" s="35"/>
      <c r="D696" s="50"/>
      <c r="F696" s="51">
        <f>SUMIFS('MOVIMENTAÇÃO'!$E:$E,'MOVIMENTAÇÃO'!$C:$C,A696,'MOVIMENTAÇÃO'!$B:$B,"PERDA")</f>
        <v>0</v>
      </c>
      <c r="G696" s="51">
        <f t="shared" si="2"/>
        <v>0</v>
      </c>
      <c r="I696" s="34"/>
    </row>
    <row r="697" ht="22.5" customHeight="1">
      <c r="A697" s="35"/>
      <c r="B697" s="35"/>
      <c r="C697" s="35"/>
      <c r="D697" s="50"/>
      <c r="F697" s="51">
        <f>SUMIFS('MOVIMENTAÇÃO'!$E:$E,'MOVIMENTAÇÃO'!$C:$C,A697,'MOVIMENTAÇÃO'!$B:$B,"PERDA")</f>
        <v>0</v>
      </c>
      <c r="G697" s="51">
        <f t="shared" si="2"/>
        <v>0</v>
      </c>
      <c r="I697" s="34"/>
    </row>
    <row r="698" ht="22.5" customHeight="1">
      <c r="A698" s="35"/>
      <c r="B698" s="35"/>
      <c r="C698" s="35"/>
      <c r="D698" s="50"/>
      <c r="F698" s="51">
        <f>SUMIFS('MOVIMENTAÇÃO'!$E:$E,'MOVIMENTAÇÃO'!$C:$C,A698,'MOVIMENTAÇÃO'!$B:$B,"PERDA")</f>
        <v>0</v>
      </c>
      <c r="G698" s="51">
        <f t="shared" si="2"/>
        <v>0</v>
      </c>
      <c r="I698" s="34"/>
    </row>
    <row r="699" ht="22.5" customHeight="1">
      <c r="A699" s="35"/>
      <c r="B699" s="35"/>
      <c r="C699" s="35"/>
      <c r="D699" s="50"/>
      <c r="F699" s="51">
        <f>SUMIFS('MOVIMENTAÇÃO'!$E:$E,'MOVIMENTAÇÃO'!$C:$C,A699,'MOVIMENTAÇÃO'!$B:$B,"PERDA")</f>
        <v>0</v>
      </c>
      <c r="G699" s="51">
        <f t="shared" si="2"/>
        <v>0</v>
      </c>
      <c r="I699" s="34"/>
    </row>
    <row r="700" ht="22.5" customHeight="1">
      <c r="A700" s="35"/>
      <c r="B700" s="35"/>
      <c r="C700" s="35"/>
      <c r="D700" s="50"/>
      <c r="F700" s="51">
        <f>SUMIFS('MOVIMENTAÇÃO'!$E:$E,'MOVIMENTAÇÃO'!$C:$C,A700,'MOVIMENTAÇÃO'!$B:$B,"PERDA")</f>
        <v>0</v>
      </c>
      <c r="G700" s="51">
        <f t="shared" si="2"/>
        <v>0</v>
      </c>
      <c r="I700" s="34"/>
    </row>
    <row r="701" ht="22.5" customHeight="1">
      <c r="A701" s="35"/>
      <c r="B701" s="35"/>
      <c r="C701" s="35"/>
      <c r="D701" s="50"/>
      <c r="F701" s="51">
        <f>SUMIFS('MOVIMENTAÇÃO'!$E:$E,'MOVIMENTAÇÃO'!$C:$C,A701,'MOVIMENTAÇÃO'!$B:$B,"PERDA")</f>
        <v>0</v>
      </c>
      <c r="G701" s="51">
        <f t="shared" si="2"/>
        <v>0</v>
      </c>
      <c r="I701" s="34"/>
    </row>
    <row r="702" ht="22.5" customHeight="1">
      <c r="A702" s="35"/>
      <c r="B702" s="35"/>
      <c r="C702" s="35"/>
      <c r="D702" s="50"/>
      <c r="F702" s="51">
        <f>SUMIFS('MOVIMENTAÇÃO'!$E:$E,'MOVIMENTAÇÃO'!$C:$C,A702,'MOVIMENTAÇÃO'!$B:$B,"PERDA")</f>
        <v>0</v>
      </c>
      <c r="G702" s="51">
        <f t="shared" si="2"/>
        <v>0</v>
      </c>
      <c r="I702" s="34"/>
    </row>
    <row r="703" ht="22.5" customHeight="1">
      <c r="A703" s="35"/>
      <c r="B703" s="35"/>
      <c r="C703" s="35"/>
      <c r="D703" s="50"/>
      <c r="F703" s="51">
        <f>SUMIFS('MOVIMENTAÇÃO'!$E:$E,'MOVIMENTAÇÃO'!$C:$C,A703,'MOVIMENTAÇÃO'!$B:$B,"PERDA")</f>
        <v>0</v>
      </c>
      <c r="G703" s="51">
        <f t="shared" si="2"/>
        <v>0</v>
      </c>
      <c r="I703" s="34"/>
    </row>
    <row r="704" ht="22.5" customHeight="1">
      <c r="A704" s="35"/>
      <c r="B704" s="35"/>
      <c r="C704" s="35"/>
      <c r="D704" s="50"/>
      <c r="F704" s="51">
        <f>SUMIFS('MOVIMENTAÇÃO'!$E:$E,'MOVIMENTAÇÃO'!$C:$C,A704,'MOVIMENTAÇÃO'!$B:$B,"PERDA")</f>
        <v>0</v>
      </c>
      <c r="G704" s="51">
        <f t="shared" si="2"/>
        <v>0</v>
      </c>
      <c r="I704" s="34"/>
    </row>
    <row r="705" ht="22.5" customHeight="1">
      <c r="A705" s="35"/>
      <c r="B705" s="35"/>
      <c r="C705" s="35"/>
      <c r="D705" s="50"/>
      <c r="F705" s="51">
        <f>SUMIFS('MOVIMENTAÇÃO'!$E:$E,'MOVIMENTAÇÃO'!$C:$C,A705,'MOVIMENTAÇÃO'!$B:$B,"PERDA")</f>
        <v>0</v>
      </c>
      <c r="G705" s="51">
        <f t="shared" si="2"/>
        <v>0</v>
      </c>
      <c r="I705" s="34"/>
    </row>
    <row r="706" ht="22.5" customHeight="1">
      <c r="A706" s="35"/>
      <c r="B706" s="35"/>
      <c r="C706" s="35"/>
      <c r="D706" s="50"/>
      <c r="F706" s="51">
        <f>SUMIFS('MOVIMENTAÇÃO'!$E:$E,'MOVIMENTAÇÃO'!$C:$C,A706,'MOVIMENTAÇÃO'!$B:$B,"PERDA")</f>
        <v>0</v>
      </c>
      <c r="G706" s="51">
        <f t="shared" si="2"/>
        <v>0</v>
      </c>
      <c r="I706" s="34"/>
    </row>
    <row r="707" ht="22.5" customHeight="1">
      <c r="A707" s="35"/>
      <c r="B707" s="35"/>
      <c r="C707" s="35"/>
      <c r="D707" s="50"/>
      <c r="F707" s="51">
        <f>SUMIFS('MOVIMENTAÇÃO'!$E:$E,'MOVIMENTAÇÃO'!$C:$C,A707,'MOVIMENTAÇÃO'!$B:$B,"PERDA")</f>
        <v>0</v>
      </c>
      <c r="G707" s="51">
        <f t="shared" si="2"/>
        <v>0</v>
      </c>
      <c r="I707" s="34"/>
    </row>
    <row r="708" ht="22.5" customHeight="1">
      <c r="A708" s="35"/>
      <c r="B708" s="35"/>
      <c r="C708" s="35"/>
      <c r="D708" s="50"/>
      <c r="F708" s="51">
        <f>SUMIFS('MOVIMENTAÇÃO'!$E:$E,'MOVIMENTAÇÃO'!$C:$C,A708,'MOVIMENTAÇÃO'!$B:$B,"PERDA")</f>
        <v>0</v>
      </c>
      <c r="G708" s="51">
        <f t="shared" si="2"/>
        <v>0</v>
      </c>
      <c r="I708" s="34"/>
    </row>
    <row r="709" ht="22.5" customHeight="1">
      <c r="A709" s="35"/>
      <c r="B709" s="35"/>
      <c r="C709" s="35"/>
      <c r="D709" s="50"/>
      <c r="F709" s="51">
        <f>SUMIFS('MOVIMENTAÇÃO'!$E:$E,'MOVIMENTAÇÃO'!$C:$C,A709,'MOVIMENTAÇÃO'!$B:$B,"PERDA")</f>
        <v>0</v>
      </c>
      <c r="G709" s="51">
        <f t="shared" si="2"/>
        <v>0</v>
      </c>
      <c r="I709" s="34"/>
    </row>
    <row r="710" ht="22.5" customHeight="1">
      <c r="A710" s="35"/>
      <c r="B710" s="35"/>
      <c r="C710" s="35"/>
      <c r="D710" s="50"/>
      <c r="F710" s="51">
        <f>SUMIFS('MOVIMENTAÇÃO'!$E:$E,'MOVIMENTAÇÃO'!$C:$C,A710,'MOVIMENTAÇÃO'!$B:$B,"PERDA")</f>
        <v>0</v>
      </c>
      <c r="G710" s="51">
        <f t="shared" si="2"/>
        <v>0</v>
      </c>
      <c r="I710" s="34"/>
    </row>
    <row r="711" ht="22.5" customHeight="1">
      <c r="A711" s="35"/>
      <c r="B711" s="35"/>
      <c r="C711" s="35"/>
      <c r="D711" s="50"/>
      <c r="F711" s="51">
        <f>SUMIFS('MOVIMENTAÇÃO'!$E:$E,'MOVIMENTAÇÃO'!$C:$C,A711,'MOVIMENTAÇÃO'!$B:$B,"PERDA")</f>
        <v>0</v>
      </c>
      <c r="G711" s="51">
        <f t="shared" si="2"/>
        <v>0</v>
      </c>
      <c r="I711" s="34"/>
    </row>
    <row r="712" ht="22.5" customHeight="1">
      <c r="A712" s="35"/>
      <c r="B712" s="35"/>
      <c r="C712" s="35"/>
      <c r="D712" s="50"/>
      <c r="F712" s="51">
        <f>SUMIFS('MOVIMENTAÇÃO'!$E:$E,'MOVIMENTAÇÃO'!$C:$C,A712,'MOVIMENTAÇÃO'!$B:$B,"PERDA")</f>
        <v>0</v>
      </c>
      <c r="G712" s="51">
        <f t="shared" si="2"/>
        <v>0</v>
      </c>
      <c r="I712" s="34"/>
    </row>
    <row r="713" ht="22.5" customHeight="1">
      <c r="A713" s="35"/>
      <c r="B713" s="35"/>
      <c r="C713" s="35"/>
      <c r="D713" s="50"/>
      <c r="F713" s="51">
        <f>SUMIFS('MOVIMENTAÇÃO'!$E:$E,'MOVIMENTAÇÃO'!$C:$C,A713,'MOVIMENTAÇÃO'!$B:$B,"PERDA")</f>
        <v>0</v>
      </c>
      <c r="G713" s="51">
        <f t="shared" si="2"/>
        <v>0</v>
      </c>
      <c r="I713" s="34"/>
    </row>
    <row r="714" ht="22.5" customHeight="1">
      <c r="A714" s="35"/>
      <c r="B714" s="35"/>
      <c r="C714" s="35"/>
      <c r="D714" s="50"/>
      <c r="F714" s="51">
        <f>SUMIFS('MOVIMENTAÇÃO'!$E:$E,'MOVIMENTAÇÃO'!$C:$C,A714,'MOVIMENTAÇÃO'!$B:$B,"PERDA")</f>
        <v>0</v>
      </c>
      <c r="G714" s="51">
        <f t="shared" si="2"/>
        <v>0</v>
      </c>
      <c r="I714" s="34"/>
    </row>
    <row r="715" ht="22.5" customHeight="1">
      <c r="A715" s="35"/>
      <c r="B715" s="35"/>
      <c r="C715" s="35"/>
      <c r="D715" s="50"/>
      <c r="F715" s="51">
        <f>SUMIFS('MOVIMENTAÇÃO'!$E:$E,'MOVIMENTAÇÃO'!$C:$C,A715,'MOVIMENTAÇÃO'!$B:$B,"PERDA")</f>
        <v>0</v>
      </c>
      <c r="G715" s="51">
        <f t="shared" si="2"/>
        <v>0</v>
      </c>
      <c r="I715" s="34"/>
    </row>
    <row r="716" ht="22.5" customHeight="1">
      <c r="A716" s="35"/>
      <c r="B716" s="35"/>
      <c r="C716" s="35"/>
      <c r="D716" s="50"/>
      <c r="F716" s="51">
        <f>SUMIFS('MOVIMENTAÇÃO'!$E:$E,'MOVIMENTAÇÃO'!$C:$C,A716,'MOVIMENTAÇÃO'!$B:$B,"PERDA")</f>
        <v>0</v>
      </c>
      <c r="G716" s="51">
        <f t="shared" si="2"/>
        <v>0</v>
      </c>
      <c r="I716" s="34"/>
    </row>
    <row r="717" ht="22.5" customHeight="1">
      <c r="A717" s="35"/>
      <c r="B717" s="35"/>
      <c r="C717" s="35"/>
      <c r="D717" s="50"/>
      <c r="F717" s="51">
        <f>SUMIFS('MOVIMENTAÇÃO'!$E:$E,'MOVIMENTAÇÃO'!$C:$C,A717,'MOVIMENTAÇÃO'!$B:$B,"PERDA")</f>
        <v>0</v>
      </c>
      <c r="G717" s="51">
        <f t="shared" si="2"/>
        <v>0</v>
      </c>
      <c r="I717" s="34"/>
    </row>
    <row r="718" ht="22.5" customHeight="1">
      <c r="A718" s="35"/>
      <c r="B718" s="35"/>
      <c r="C718" s="35"/>
      <c r="D718" s="50"/>
      <c r="F718" s="51">
        <f>SUMIFS('MOVIMENTAÇÃO'!$E:$E,'MOVIMENTAÇÃO'!$C:$C,A718,'MOVIMENTAÇÃO'!$B:$B,"PERDA")</f>
        <v>0</v>
      </c>
      <c r="G718" s="51">
        <f t="shared" si="2"/>
        <v>0</v>
      </c>
      <c r="I718" s="34"/>
    </row>
    <row r="719" ht="22.5" customHeight="1">
      <c r="A719" s="35"/>
      <c r="B719" s="35"/>
      <c r="C719" s="35"/>
      <c r="D719" s="50"/>
      <c r="F719" s="51">
        <f>SUMIFS('MOVIMENTAÇÃO'!$E:$E,'MOVIMENTAÇÃO'!$C:$C,A719,'MOVIMENTAÇÃO'!$B:$B,"PERDA")</f>
        <v>0</v>
      </c>
      <c r="G719" s="51">
        <f t="shared" si="2"/>
        <v>0</v>
      </c>
      <c r="I719" s="34"/>
    </row>
    <row r="720" ht="22.5" customHeight="1">
      <c r="A720" s="35"/>
      <c r="B720" s="35"/>
      <c r="C720" s="35"/>
      <c r="D720" s="50"/>
      <c r="F720" s="51">
        <f>SUMIFS('MOVIMENTAÇÃO'!$E:$E,'MOVIMENTAÇÃO'!$C:$C,A720,'MOVIMENTAÇÃO'!$B:$B,"PERDA")</f>
        <v>0</v>
      </c>
      <c r="G720" s="51">
        <f t="shared" si="2"/>
        <v>0</v>
      </c>
      <c r="I720" s="34"/>
    </row>
    <row r="721" ht="22.5" customHeight="1">
      <c r="A721" s="35"/>
      <c r="B721" s="35"/>
      <c r="C721" s="35"/>
      <c r="D721" s="50"/>
      <c r="F721" s="51">
        <f>SUMIFS('MOVIMENTAÇÃO'!$E:$E,'MOVIMENTAÇÃO'!$C:$C,A721,'MOVIMENTAÇÃO'!$B:$B,"PERDA")</f>
        <v>0</v>
      </c>
      <c r="G721" s="51">
        <f t="shared" si="2"/>
        <v>0</v>
      </c>
      <c r="I721" s="34"/>
    </row>
    <row r="722" ht="22.5" customHeight="1">
      <c r="A722" s="35"/>
      <c r="B722" s="35"/>
      <c r="C722" s="35"/>
      <c r="D722" s="50"/>
      <c r="F722" s="51">
        <f>SUMIFS('MOVIMENTAÇÃO'!$E:$E,'MOVIMENTAÇÃO'!$C:$C,A722,'MOVIMENTAÇÃO'!$B:$B,"PERDA")</f>
        <v>0</v>
      </c>
      <c r="G722" s="51">
        <f t="shared" si="2"/>
        <v>0</v>
      </c>
      <c r="I722" s="34"/>
    </row>
    <row r="723" ht="22.5" customHeight="1">
      <c r="A723" s="35"/>
      <c r="B723" s="35"/>
      <c r="C723" s="35"/>
      <c r="D723" s="50"/>
      <c r="F723" s="51">
        <f>SUMIFS('MOVIMENTAÇÃO'!$E:$E,'MOVIMENTAÇÃO'!$C:$C,A723,'MOVIMENTAÇÃO'!$B:$B,"PERDA")</f>
        <v>0</v>
      </c>
      <c r="G723" s="51">
        <f t="shared" si="2"/>
        <v>0</v>
      </c>
      <c r="I723" s="34"/>
    </row>
    <row r="724" ht="22.5" customHeight="1">
      <c r="A724" s="35"/>
      <c r="B724" s="35"/>
      <c r="C724" s="35"/>
      <c r="D724" s="50"/>
      <c r="F724" s="51">
        <f>SUMIFS('MOVIMENTAÇÃO'!$E:$E,'MOVIMENTAÇÃO'!$C:$C,A724,'MOVIMENTAÇÃO'!$B:$B,"PERDA")</f>
        <v>0</v>
      </c>
      <c r="G724" s="51">
        <f t="shared" si="2"/>
        <v>0</v>
      </c>
      <c r="I724" s="34"/>
    </row>
    <row r="725" ht="22.5" customHeight="1">
      <c r="A725" s="35"/>
      <c r="B725" s="35"/>
      <c r="C725" s="35"/>
      <c r="D725" s="50"/>
      <c r="F725" s="51">
        <f>SUMIFS('MOVIMENTAÇÃO'!$E:$E,'MOVIMENTAÇÃO'!$C:$C,A725,'MOVIMENTAÇÃO'!$B:$B,"PERDA")</f>
        <v>0</v>
      </c>
      <c r="G725" s="51">
        <f t="shared" si="2"/>
        <v>0</v>
      </c>
      <c r="I725" s="34"/>
    </row>
    <row r="726" ht="22.5" customHeight="1">
      <c r="A726" s="35"/>
      <c r="B726" s="35"/>
      <c r="C726" s="35"/>
      <c r="D726" s="50"/>
      <c r="F726" s="51">
        <f>SUMIFS('MOVIMENTAÇÃO'!$E:$E,'MOVIMENTAÇÃO'!$C:$C,A726,'MOVIMENTAÇÃO'!$B:$B,"PERDA")</f>
        <v>0</v>
      </c>
      <c r="G726" s="51">
        <f t="shared" si="2"/>
        <v>0</v>
      </c>
      <c r="I726" s="34"/>
    </row>
    <row r="727" ht="22.5" customHeight="1">
      <c r="A727" s="35"/>
      <c r="B727" s="35"/>
      <c r="C727" s="35"/>
      <c r="D727" s="50"/>
      <c r="F727" s="51">
        <f>SUMIFS('MOVIMENTAÇÃO'!$E:$E,'MOVIMENTAÇÃO'!$C:$C,A727,'MOVIMENTAÇÃO'!$B:$B,"PERDA")</f>
        <v>0</v>
      </c>
      <c r="G727" s="51">
        <f t="shared" si="2"/>
        <v>0</v>
      </c>
      <c r="I727" s="34"/>
    </row>
    <row r="728" ht="22.5" customHeight="1">
      <c r="A728" s="35"/>
      <c r="B728" s="35"/>
      <c r="C728" s="35"/>
      <c r="D728" s="50"/>
      <c r="F728" s="51">
        <f>SUMIFS('MOVIMENTAÇÃO'!$E:$E,'MOVIMENTAÇÃO'!$C:$C,A728,'MOVIMENTAÇÃO'!$B:$B,"PERDA")</f>
        <v>0</v>
      </c>
      <c r="G728" s="51">
        <f t="shared" si="2"/>
        <v>0</v>
      </c>
      <c r="I728" s="34"/>
    </row>
    <row r="729" ht="22.5" customHeight="1">
      <c r="A729" s="35"/>
      <c r="B729" s="35"/>
      <c r="C729" s="35"/>
      <c r="D729" s="50"/>
      <c r="F729" s="51">
        <f>SUMIFS('MOVIMENTAÇÃO'!$E:$E,'MOVIMENTAÇÃO'!$C:$C,A729,'MOVIMENTAÇÃO'!$B:$B,"PERDA")</f>
        <v>0</v>
      </c>
      <c r="G729" s="51">
        <f t="shared" si="2"/>
        <v>0</v>
      </c>
      <c r="I729" s="34"/>
    </row>
    <row r="730" ht="22.5" customHeight="1">
      <c r="A730" s="35"/>
      <c r="B730" s="35"/>
      <c r="C730" s="35"/>
      <c r="D730" s="50"/>
      <c r="F730" s="51">
        <f>SUMIFS('MOVIMENTAÇÃO'!$E:$E,'MOVIMENTAÇÃO'!$C:$C,A730,'MOVIMENTAÇÃO'!$B:$B,"PERDA")</f>
        <v>0</v>
      </c>
      <c r="G730" s="51">
        <f t="shared" si="2"/>
        <v>0</v>
      </c>
      <c r="I730" s="34"/>
    </row>
    <row r="731" ht="22.5" customHeight="1">
      <c r="A731" s="35"/>
      <c r="B731" s="35"/>
      <c r="C731" s="35"/>
      <c r="D731" s="50"/>
      <c r="F731" s="51">
        <f>SUMIFS('MOVIMENTAÇÃO'!$E:$E,'MOVIMENTAÇÃO'!$C:$C,A731,'MOVIMENTAÇÃO'!$B:$B,"PERDA")</f>
        <v>0</v>
      </c>
      <c r="G731" s="51">
        <f t="shared" si="2"/>
        <v>0</v>
      </c>
      <c r="I731" s="34"/>
    </row>
    <row r="732" ht="22.5" customHeight="1">
      <c r="A732" s="35"/>
      <c r="B732" s="35"/>
      <c r="C732" s="35"/>
      <c r="D732" s="50"/>
      <c r="F732" s="51">
        <f>SUMIFS('MOVIMENTAÇÃO'!$E:$E,'MOVIMENTAÇÃO'!$C:$C,A732,'MOVIMENTAÇÃO'!$B:$B,"PERDA")</f>
        <v>0</v>
      </c>
      <c r="G732" s="51">
        <f t="shared" si="2"/>
        <v>0</v>
      </c>
      <c r="I732" s="34"/>
    </row>
    <row r="733" ht="22.5" customHeight="1">
      <c r="A733" s="35"/>
      <c r="B733" s="35"/>
      <c r="C733" s="35"/>
      <c r="D733" s="50"/>
      <c r="F733" s="51">
        <f>SUMIFS('MOVIMENTAÇÃO'!$E:$E,'MOVIMENTAÇÃO'!$C:$C,A733,'MOVIMENTAÇÃO'!$B:$B,"PERDA")</f>
        <v>0</v>
      </c>
      <c r="G733" s="51">
        <f t="shared" si="2"/>
        <v>0</v>
      </c>
      <c r="I733" s="34"/>
    </row>
    <row r="734" ht="22.5" customHeight="1">
      <c r="A734" s="35"/>
      <c r="B734" s="35"/>
      <c r="C734" s="35"/>
      <c r="D734" s="50"/>
      <c r="F734" s="51">
        <f>SUMIFS('MOVIMENTAÇÃO'!$E:$E,'MOVIMENTAÇÃO'!$C:$C,A734,'MOVIMENTAÇÃO'!$B:$B,"PERDA")</f>
        <v>0</v>
      </c>
      <c r="G734" s="51">
        <f t="shared" si="2"/>
        <v>0</v>
      </c>
      <c r="I734" s="34"/>
    </row>
    <row r="735" ht="22.5" customHeight="1">
      <c r="A735" s="35"/>
      <c r="B735" s="35"/>
      <c r="C735" s="35"/>
      <c r="D735" s="50"/>
      <c r="F735" s="51">
        <f>SUMIFS('MOVIMENTAÇÃO'!$E:$E,'MOVIMENTAÇÃO'!$C:$C,A735,'MOVIMENTAÇÃO'!$B:$B,"PERDA")</f>
        <v>0</v>
      </c>
      <c r="G735" s="51">
        <f t="shared" si="2"/>
        <v>0</v>
      </c>
      <c r="I735" s="34"/>
    </row>
    <row r="736" ht="22.5" customHeight="1">
      <c r="A736" s="35"/>
      <c r="B736" s="35"/>
      <c r="C736" s="35"/>
      <c r="D736" s="50"/>
      <c r="F736" s="51">
        <f>SUMIFS('MOVIMENTAÇÃO'!$E:$E,'MOVIMENTAÇÃO'!$C:$C,A736,'MOVIMENTAÇÃO'!$B:$B,"PERDA")</f>
        <v>0</v>
      </c>
      <c r="G736" s="51">
        <f t="shared" si="2"/>
        <v>0</v>
      </c>
      <c r="I736" s="34"/>
    </row>
    <row r="737" ht="22.5" customHeight="1">
      <c r="A737" s="35"/>
      <c r="B737" s="35"/>
      <c r="C737" s="35"/>
      <c r="D737" s="50"/>
      <c r="F737" s="51">
        <f>SUMIFS('MOVIMENTAÇÃO'!$E:$E,'MOVIMENTAÇÃO'!$C:$C,A737,'MOVIMENTAÇÃO'!$B:$B,"PERDA")</f>
        <v>0</v>
      </c>
      <c r="G737" s="51">
        <f t="shared" si="2"/>
        <v>0</v>
      </c>
      <c r="I737" s="34"/>
    </row>
    <row r="738" ht="22.5" customHeight="1">
      <c r="A738" s="35"/>
      <c r="B738" s="35"/>
      <c r="C738" s="35"/>
      <c r="D738" s="50"/>
      <c r="F738" s="51">
        <f>SUMIFS('MOVIMENTAÇÃO'!$E:$E,'MOVIMENTAÇÃO'!$C:$C,A738,'MOVIMENTAÇÃO'!$B:$B,"PERDA")</f>
        <v>0</v>
      </c>
      <c r="G738" s="51">
        <f t="shared" si="2"/>
        <v>0</v>
      </c>
      <c r="I738" s="34"/>
    </row>
    <row r="739" ht="22.5" customHeight="1">
      <c r="A739" s="35"/>
      <c r="B739" s="35"/>
      <c r="C739" s="35"/>
      <c r="D739" s="50"/>
      <c r="F739" s="51">
        <f>SUMIFS('MOVIMENTAÇÃO'!$E:$E,'MOVIMENTAÇÃO'!$C:$C,A739,'MOVIMENTAÇÃO'!$B:$B,"PERDA")</f>
        <v>0</v>
      </c>
      <c r="G739" s="51">
        <f t="shared" si="2"/>
        <v>0</v>
      </c>
      <c r="I739" s="34"/>
    </row>
    <row r="740" ht="22.5" customHeight="1">
      <c r="A740" s="35"/>
      <c r="B740" s="35"/>
      <c r="C740" s="35"/>
      <c r="D740" s="50"/>
      <c r="F740" s="51">
        <f>SUMIFS('MOVIMENTAÇÃO'!$E:$E,'MOVIMENTAÇÃO'!$C:$C,A740,'MOVIMENTAÇÃO'!$B:$B,"PERDA")</f>
        <v>0</v>
      </c>
      <c r="G740" s="51">
        <f t="shared" si="2"/>
        <v>0</v>
      </c>
      <c r="I740" s="34"/>
    </row>
    <row r="741" ht="22.5" customHeight="1">
      <c r="A741" s="35"/>
      <c r="B741" s="35"/>
      <c r="C741" s="35"/>
      <c r="D741" s="50"/>
      <c r="F741" s="51">
        <f>SUMIFS('MOVIMENTAÇÃO'!$E:$E,'MOVIMENTAÇÃO'!$C:$C,A741,'MOVIMENTAÇÃO'!$B:$B,"PERDA")</f>
        <v>0</v>
      </c>
      <c r="G741" s="51">
        <f t="shared" si="2"/>
        <v>0</v>
      </c>
      <c r="I741" s="34"/>
    </row>
    <row r="742" ht="22.5" customHeight="1">
      <c r="A742" s="35"/>
      <c r="B742" s="35"/>
      <c r="C742" s="35"/>
      <c r="D742" s="50"/>
      <c r="F742" s="51">
        <f>SUMIFS('MOVIMENTAÇÃO'!$E:$E,'MOVIMENTAÇÃO'!$C:$C,A742,'MOVIMENTAÇÃO'!$B:$B,"PERDA")</f>
        <v>0</v>
      </c>
      <c r="G742" s="51">
        <f t="shared" si="2"/>
        <v>0</v>
      </c>
      <c r="I742" s="34"/>
    </row>
    <row r="743" ht="22.5" customHeight="1">
      <c r="A743" s="35"/>
      <c r="B743" s="35"/>
      <c r="C743" s="35"/>
      <c r="D743" s="50"/>
      <c r="F743" s="51">
        <f>SUMIFS('MOVIMENTAÇÃO'!$E:$E,'MOVIMENTAÇÃO'!$C:$C,A743,'MOVIMENTAÇÃO'!$B:$B,"PERDA")</f>
        <v>0</v>
      </c>
      <c r="G743" s="51">
        <f t="shared" si="2"/>
        <v>0</v>
      </c>
      <c r="I743" s="34"/>
    </row>
    <row r="744" ht="22.5" customHeight="1">
      <c r="A744" s="35"/>
      <c r="B744" s="35"/>
      <c r="C744" s="35"/>
      <c r="D744" s="50"/>
      <c r="F744" s="51">
        <f>SUMIFS('MOVIMENTAÇÃO'!$E:$E,'MOVIMENTAÇÃO'!$C:$C,A744,'MOVIMENTAÇÃO'!$B:$B,"PERDA")</f>
        <v>0</v>
      </c>
      <c r="G744" s="51">
        <f t="shared" si="2"/>
        <v>0</v>
      </c>
      <c r="I744" s="34"/>
    </row>
    <row r="745" ht="22.5" customHeight="1">
      <c r="A745" s="35"/>
      <c r="B745" s="35"/>
      <c r="C745" s="35"/>
      <c r="D745" s="50"/>
      <c r="F745" s="51">
        <f>SUMIFS('MOVIMENTAÇÃO'!$E:$E,'MOVIMENTAÇÃO'!$C:$C,A745,'MOVIMENTAÇÃO'!$B:$B,"PERDA")</f>
        <v>0</v>
      </c>
      <c r="G745" s="51">
        <f t="shared" si="2"/>
        <v>0</v>
      </c>
      <c r="I745" s="34"/>
    </row>
    <row r="746" ht="22.5" customHeight="1">
      <c r="A746" s="35"/>
      <c r="B746" s="35"/>
      <c r="C746" s="35"/>
      <c r="D746" s="50"/>
      <c r="F746" s="51">
        <f>SUMIFS('MOVIMENTAÇÃO'!$E:$E,'MOVIMENTAÇÃO'!$C:$C,A746,'MOVIMENTAÇÃO'!$B:$B,"PERDA")</f>
        <v>0</v>
      </c>
      <c r="G746" s="51">
        <f t="shared" si="2"/>
        <v>0</v>
      </c>
      <c r="I746" s="34"/>
    </row>
    <row r="747" ht="22.5" customHeight="1">
      <c r="A747" s="35"/>
      <c r="B747" s="35"/>
      <c r="C747" s="35"/>
      <c r="D747" s="50"/>
      <c r="F747" s="51">
        <f>SUMIFS('MOVIMENTAÇÃO'!$E:$E,'MOVIMENTAÇÃO'!$C:$C,A747,'MOVIMENTAÇÃO'!$B:$B,"PERDA")</f>
        <v>0</v>
      </c>
      <c r="G747" s="51">
        <f t="shared" si="2"/>
        <v>0</v>
      </c>
      <c r="I747" s="34"/>
    </row>
    <row r="748" ht="22.5" customHeight="1">
      <c r="A748" s="35"/>
      <c r="B748" s="35"/>
      <c r="C748" s="35"/>
      <c r="D748" s="50"/>
      <c r="F748" s="51">
        <f>SUMIFS('MOVIMENTAÇÃO'!$E:$E,'MOVIMENTAÇÃO'!$C:$C,A748,'MOVIMENTAÇÃO'!$B:$B,"PERDA")</f>
        <v>0</v>
      </c>
      <c r="G748" s="51">
        <f t="shared" si="2"/>
        <v>0</v>
      </c>
      <c r="I748" s="34"/>
    </row>
    <row r="749" ht="22.5" customHeight="1">
      <c r="A749" s="35"/>
      <c r="B749" s="35"/>
      <c r="C749" s="35"/>
      <c r="D749" s="50"/>
      <c r="F749" s="51">
        <f>SUMIFS('MOVIMENTAÇÃO'!$E:$E,'MOVIMENTAÇÃO'!$C:$C,A749,'MOVIMENTAÇÃO'!$B:$B,"PERDA")</f>
        <v>0</v>
      </c>
      <c r="G749" s="51">
        <f t="shared" si="2"/>
        <v>0</v>
      </c>
      <c r="I749" s="34"/>
    </row>
    <row r="750" ht="22.5" customHeight="1">
      <c r="A750" s="35"/>
      <c r="B750" s="35"/>
      <c r="C750" s="35"/>
      <c r="D750" s="50"/>
      <c r="F750" s="51">
        <f>SUMIFS('MOVIMENTAÇÃO'!$E:$E,'MOVIMENTAÇÃO'!$C:$C,A750,'MOVIMENTAÇÃO'!$B:$B,"PERDA")</f>
        <v>0</v>
      </c>
      <c r="G750" s="51">
        <f t="shared" si="2"/>
        <v>0</v>
      </c>
      <c r="I750" s="34"/>
    </row>
    <row r="751" ht="22.5" customHeight="1">
      <c r="A751" s="35"/>
      <c r="B751" s="35"/>
      <c r="C751" s="35"/>
      <c r="D751" s="50"/>
      <c r="F751" s="51">
        <f>SUMIFS('MOVIMENTAÇÃO'!$E:$E,'MOVIMENTAÇÃO'!$C:$C,A751,'MOVIMENTAÇÃO'!$B:$B,"PERDA")</f>
        <v>0</v>
      </c>
      <c r="G751" s="51">
        <f t="shared" si="2"/>
        <v>0</v>
      </c>
      <c r="I751" s="34"/>
    </row>
    <row r="752" ht="22.5" customHeight="1">
      <c r="A752" s="35"/>
      <c r="B752" s="35"/>
      <c r="C752" s="35"/>
      <c r="D752" s="50"/>
      <c r="F752" s="51">
        <f>SUMIFS('MOVIMENTAÇÃO'!$E:$E,'MOVIMENTAÇÃO'!$C:$C,A752,'MOVIMENTAÇÃO'!$B:$B,"PERDA")</f>
        <v>0</v>
      </c>
      <c r="G752" s="51">
        <f t="shared" si="2"/>
        <v>0</v>
      </c>
      <c r="I752" s="34"/>
    </row>
    <row r="753" ht="22.5" customHeight="1">
      <c r="A753" s="35"/>
      <c r="B753" s="35"/>
      <c r="C753" s="35"/>
      <c r="D753" s="50"/>
      <c r="F753" s="51">
        <f>SUMIFS('MOVIMENTAÇÃO'!$E:$E,'MOVIMENTAÇÃO'!$C:$C,A753,'MOVIMENTAÇÃO'!$B:$B,"PERDA")</f>
        <v>0</v>
      </c>
      <c r="G753" s="51">
        <f t="shared" si="2"/>
        <v>0</v>
      </c>
      <c r="I753" s="34"/>
    </row>
    <row r="754" ht="22.5" customHeight="1">
      <c r="A754" s="35"/>
      <c r="B754" s="35"/>
      <c r="C754" s="35"/>
      <c r="D754" s="50"/>
      <c r="F754" s="51">
        <f>SUMIFS('MOVIMENTAÇÃO'!$E:$E,'MOVIMENTAÇÃO'!$C:$C,A754,'MOVIMENTAÇÃO'!$B:$B,"PERDA")</f>
        <v>0</v>
      </c>
      <c r="G754" s="51">
        <f t="shared" si="2"/>
        <v>0</v>
      </c>
      <c r="I754" s="34"/>
    </row>
    <row r="755" ht="22.5" customHeight="1">
      <c r="A755" s="35"/>
      <c r="B755" s="35"/>
      <c r="C755" s="35"/>
      <c r="D755" s="50"/>
      <c r="F755" s="51">
        <f>SUMIFS('MOVIMENTAÇÃO'!$E:$E,'MOVIMENTAÇÃO'!$C:$C,A755,'MOVIMENTAÇÃO'!$B:$B,"PERDA")</f>
        <v>0</v>
      </c>
      <c r="G755" s="51">
        <f t="shared" si="2"/>
        <v>0</v>
      </c>
      <c r="I755" s="34"/>
    </row>
    <row r="756" ht="22.5" customHeight="1">
      <c r="A756" s="35"/>
      <c r="B756" s="35"/>
      <c r="C756" s="35"/>
      <c r="D756" s="50"/>
      <c r="F756" s="51">
        <f>SUMIFS('MOVIMENTAÇÃO'!$E:$E,'MOVIMENTAÇÃO'!$C:$C,A756,'MOVIMENTAÇÃO'!$B:$B,"PERDA")</f>
        <v>0</v>
      </c>
      <c r="G756" s="51">
        <f t="shared" si="2"/>
        <v>0</v>
      </c>
      <c r="I756" s="34"/>
    </row>
    <row r="757" ht="22.5" customHeight="1">
      <c r="A757" s="35"/>
      <c r="B757" s="35"/>
      <c r="C757" s="35"/>
      <c r="D757" s="50"/>
      <c r="F757" s="51">
        <f>SUMIFS('MOVIMENTAÇÃO'!$E:$E,'MOVIMENTAÇÃO'!$C:$C,A757,'MOVIMENTAÇÃO'!$B:$B,"PERDA")</f>
        <v>0</v>
      </c>
      <c r="G757" s="51">
        <f t="shared" si="2"/>
        <v>0</v>
      </c>
      <c r="I757" s="34"/>
    </row>
    <row r="758" ht="22.5" customHeight="1">
      <c r="A758" s="35"/>
      <c r="B758" s="35"/>
      <c r="C758" s="35"/>
      <c r="D758" s="50"/>
      <c r="F758" s="51">
        <f>SUMIFS('MOVIMENTAÇÃO'!$E:$E,'MOVIMENTAÇÃO'!$C:$C,A758,'MOVIMENTAÇÃO'!$B:$B,"PERDA")</f>
        <v>0</v>
      </c>
      <c r="G758" s="51">
        <f t="shared" si="2"/>
        <v>0</v>
      </c>
      <c r="I758" s="34"/>
    </row>
    <row r="759" ht="22.5" customHeight="1">
      <c r="A759" s="35"/>
      <c r="B759" s="35"/>
      <c r="C759" s="35"/>
      <c r="D759" s="50"/>
      <c r="F759" s="51">
        <f>SUMIFS('MOVIMENTAÇÃO'!$E:$E,'MOVIMENTAÇÃO'!$C:$C,A759,'MOVIMENTAÇÃO'!$B:$B,"PERDA")</f>
        <v>0</v>
      </c>
      <c r="G759" s="51">
        <f t="shared" si="2"/>
        <v>0</v>
      </c>
      <c r="I759" s="34"/>
    </row>
    <row r="760" ht="22.5" customHeight="1">
      <c r="A760" s="35"/>
      <c r="B760" s="35"/>
      <c r="C760" s="35"/>
      <c r="D760" s="50"/>
      <c r="F760" s="51">
        <f>SUMIFS('MOVIMENTAÇÃO'!$E:$E,'MOVIMENTAÇÃO'!$C:$C,A760,'MOVIMENTAÇÃO'!$B:$B,"PERDA")</f>
        <v>0</v>
      </c>
      <c r="G760" s="51">
        <f t="shared" si="2"/>
        <v>0</v>
      </c>
      <c r="I760" s="34"/>
    </row>
    <row r="761" ht="22.5" customHeight="1">
      <c r="A761" s="35"/>
      <c r="B761" s="35"/>
      <c r="C761" s="35"/>
      <c r="D761" s="50"/>
      <c r="F761" s="51">
        <f>SUMIFS('MOVIMENTAÇÃO'!$E:$E,'MOVIMENTAÇÃO'!$C:$C,A761,'MOVIMENTAÇÃO'!$B:$B,"PERDA")</f>
        <v>0</v>
      </c>
      <c r="G761" s="51">
        <f t="shared" si="2"/>
        <v>0</v>
      </c>
      <c r="I761" s="34"/>
    </row>
    <row r="762" ht="22.5" customHeight="1">
      <c r="A762" s="35"/>
      <c r="B762" s="35"/>
      <c r="C762" s="35"/>
      <c r="D762" s="50"/>
      <c r="F762" s="51">
        <f>SUMIFS('MOVIMENTAÇÃO'!$E:$E,'MOVIMENTAÇÃO'!$C:$C,A762,'MOVIMENTAÇÃO'!$B:$B,"PERDA")</f>
        <v>0</v>
      </c>
      <c r="G762" s="51">
        <f t="shared" si="2"/>
        <v>0</v>
      </c>
      <c r="I762" s="34"/>
    </row>
    <row r="763" ht="22.5" customHeight="1">
      <c r="A763" s="35"/>
      <c r="B763" s="35"/>
      <c r="C763" s="35"/>
      <c r="D763" s="50"/>
      <c r="F763" s="51">
        <f>SUMIFS('MOVIMENTAÇÃO'!$E:$E,'MOVIMENTAÇÃO'!$C:$C,A763,'MOVIMENTAÇÃO'!$B:$B,"PERDA")</f>
        <v>0</v>
      </c>
      <c r="G763" s="51">
        <f t="shared" si="2"/>
        <v>0</v>
      </c>
      <c r="I763" s="34"/>
    </row>
    <row r="764" ht="22.5" customHeight="1">
      <c r="A764" s="35"/>
      <c r="B764" s="35"/>
      <c r="C764" s="35"/>
      <c r="D764" s="50"/>
      <c r="F764" s="51">
        <f>SUMIFS('MOVIMENTAÇÃO'!$E:$E,'MOVIMENTAÇÃO'!$C:$C,A764,'MOVIMENTAÇÃO'!$B:$B,"PERDA")</f>
        <v>0</v>
      </c>
      <c r="G764" s="51">
        <f t="shared" si="2"/>
        <v>0</v>
      </c>
      <c r="I764" s="34"/>
    </row>
    <row r="765" ht="22.5" customHeight="1">
      <c r="A765" s="35"/>
      <c r="B765" s="35"/>
      <c r="C765" s="35"/>
      <c r="D765" s="50"/>
      <c r="F765" s="51">
        <f>SUMIFS('MOVIMENTAÇÃO'!$E:$E,'MOVIMENTAÇÃO'!$C:$C,A765,'MOVIMENTAÇÃO'!$B:$B,"PERDA")</f>
        <v>0</v>
      </c>
      <c r="G765" s="51">
        <f t="shared" si="2"/>
        <v>0</v>
      </c>
      <c r="I765" s="34"/>
    </row>
    <row r="766" ht="22.5" customHeight="1">
      <c r="A766" s="35"/>
      <c r="B766" s="35"/>
      <c r="C766" s="35"/>
      <c r="D766" s="50"/>
      <c r="F766" s="51">
        <f>SUMIFS('MOVIMENTAÇÃO'!$E:$E,'MOVIMENTAÇÃO'!$C:$C,A766,'MOVIMENTAÇÃO'!$B:$B,"PERDA")</f>
        <v>0</v>
      </c>
      <c r="G766" s="51">
        <f t="shared" si="2"/>
        <v>0</v>
      </c>
      <c r="I766" s="34"/>
    </row>
    <row r="767" ht="22.5" customHeight="1">
      <c r="A767" s="35"/>
      <c r="B767" s="35"/>
      <c r="C767" s="35"/>
      <c r="D767" s="50"/>
      <c r="F767" s="51">
        <f>SUMIFS('MOVIMENTAÇÃO'!$E:$E,'MOVIMENTAÇÃO'!$C:$C,A767,'MOVIMENTAÇÃO'!$B:$B,"PERDA")</f>
        <v>0</v>
      </c>
      <c r="G767" s="51">
        <f t="shared" si="2"/>
        <v>0</v>
      </c>
      <c r="I767" s="34"/>
    </row>
    <row r="768" ht="22.5" customHeight="1">
      <c r="A768" s="35"/>
      <c r="B768" s="35"/>
      <c r="C768" s="35"/>
      <c r="D768" s="50"/>
      <c r="F768" s="51">
        <f>SUMIFS('MOVIMENTAÇÃO'!$E:$E,'MOVIMENTAÇÃO'!$C:$C,A768,'MOVIMENTAÇÃO'!$B:$B,"PERDA")</f>
        <v>0</v>
      </c>
      <c r="G768" s="51">
        <f t="shared" si="2"/>
        <v>0</v>
      </c>
      <c r="I768" s="34"/>
    </row>
    <row r="769" ht="22.5" customHeight="1">
      <c r="A769" s="35"/>
      <c r="B769" s="35"/>
      <c r="C769" s="35"/>
      <c r="D769" s="50"/>
      <c r="F769" s="51">
        <f>SUMIFS('MOVIMENTAÇÃO'!$E:$E,'MOVIMENTAÇÃO'!$C:$C,A769,'MOVIMENTAÇÃO'!$B:$B,"PERDA")</f>
        <v>0</v>
      </c>
      <c r="G769" s="51">
        <f t="shared" si="2"/>
        <v>0</v>
      </c>
      <c r="I769" s="34"/>
    </row>
    <row r="770" ht="22.5" customHeight="1">
      <c r="A770" s="35"/>
      <c r="B770" s="35"/>
      <c r="C770" s="35"/>
      <c r="D770" s="50"/>
      <c r="F770" s="51">
        <f>SUMIFS('MOVIMENTAÇÃO'!$E:$E,'MOVIMENTAÇÃO'!$C:$C,A770,'MOVIMENTAÇÃO'!$B:$B,"PERDA")</f>
        <v>0</v>
      </c>
      <c r="G770" s="51">
        <f t="shared" si="2"/>
        <v>0</v>
      </c>
      <c r="I770" s="34"/>
    </row>
    <row r="771" ht="22.5" customHeight="1">
      <c r="A771" s="35"/>
      <c r="B771" s="35"/>
      <c r="C771" s="35"/>
      <c r="D771" s="50"/>
      <c r="F771" s="51">
        <f>SUMIFS('MOVIMENTAÇÃO'!$E:$E,'MOVIMENTAÇÃO'!$C:$C,A771,'MOVIMENTAÇÃO'!$B:$B,"PERDA")</f>
        <v>0</v>
      </c>
      <c r="G771" s="51">
        <f t="shared" si="2"/>
        <v>0</v>
      </c>
      <c r="I771" s="34"/>
    </row>
    <row r="772" ht="22.5" customHeight="1">
      <c r="A772" s="35"/>
      <c r="B772" s="35"/>
      <c r="C772" s="35"/>
      <c r="D772" s="50"/>
      <c r="F772" s="51">
        <f>SUMIFS('MOVIMENTAÇÃO'!$E:$E,'MOVIMENTAÇÃO'!$C:$C,A772,'MOVIMENTAÇÃO'!$B:$B,"PERDA")</f>
        <v>0</v>
      </c>
      <c r="G772" s="51">
        <f t="shared" si="2"/>
        <v>0</v>
      </c>
      <c r="I772" s="34"/>
    </row>
    <row r="773" ht="22.5" customHeight="1">
      <c r="A773" s="35"/>
      <c r="B773" s="35"/>
      <c r="C773" s="35"/>
      <c r="D773" s="50"/>
      <c r="F773" s="51">
        <f>SUMIFS('MOVIMENTAÇÃO'!$E:$E,'MOVIMENTAÇÃO'!$C:$C,A773,'MOVIMENTAÇÃO'!$B:$B,"PERDA")</f>
        <v>0</v>
      </c>
      <c r="G773" s="51">
        <f t="shared" si="2"/>
        <v>0</v>
      </c>
      <c r="I773" s="34"/>
    </row>
    <row r="774" ht="22.5" customHeight="1">
      <c r="A774" s="35"/>
      <c r="B774" s="35"/>
      <c r="C774" s="35"/>
      <c r="D774" s="50"/>
      <c r="F774" s="51">
        <f>SUMIFS('MOVIMENTAÇÃO'!$E:$E,'MOVIMENTAÇÃO'!$C:$C,A774,'MOVIMENTAÇÃO'!$B:$B,"PERDA")</f>
        <v>0</v>
      </c>
      <c r="G774" s="51">
        <f t="shared" si="2"/>
        <v>0</v>
      </c>
      <c r="I774" s="34"/>
    </row>
    <row r="775" ht="22.5" customHeight="1">
      <c r="A775" s="35"/>
      <c r="B775" s="35"/>
      <c r="C775" s="35"/>
      <c r="D775" s="50"/>
      <c r="F775" s="51">
        <f>SUMIFS('MOVIMENTAÇÃO'!$E:$E,'MOVIMENTAÇÃO'!$C:$C,A775,'MOVIMENTAÇÃO'!$B:$B,"PERDA")</f>
        <v>0</v>
      </c>
      <c r="G775" s="51">
        <f t="shared" si="2"/>
        <v>0</v>
      </c>
      <c r="I775" s="34"/>
    </row>
    <row r="776" ht="22.5" customHeight="1">
      <c r="A776" s="35"/>
      <c r="B776" s="35"/>
      <c r="C776" s="35"/>
      <c r="D776" s="50"/>
      <c r="F776" s="51">
        <f>SUMIFS('MOVIMENTAÇÃO'!$E:$E,'MOVIMENTAÇÃO'!$C:$C,A776,'MOVIMENTAÇÃO'!$B:$B,"PERDA")</f>
        <v>0</v>
      </c>
      <c r="G776" s="51">
        <f t="shared" si="2"/>
        <v>0</v>
      </c>
      <c r="I776" s="34"/>
    </row>
    <row r="777" ht="22.5" customHeight="1">
      <c r="A777" s="35"/>
      <c r="B777" s="35"/>
      <c r="C777" s="35"/>
      <c r="D777" s="50"/>
      <c r="F777" s="51">
        <f>SUMIFS('MOVIMENTAÇÃO'!$E:$E,'MOVIMENTAÇÃO'!$C:$C,A777,'MOVIMENTAÇÃO'!$B:$B,"PERDA")</f>
        <v>0</v>
      </c>
      <c r="G777" s="51">
        <f t="shared" si="2"/>
        <v>0</v>
      </c>
      <c r="I777" s="34"/>
    </row>
    <row r="778" ht="22.5" customHeight="1">
      <c r="A778" s="35"/>
      <c r="B778" s="35"/>
      <c r="C778" s="35"/>
      <c r="D778" s="50"/>
      <c r="F778" s="51">
        <f>SUMIFS('MOVIMENTAÇÃO'!$E:$E,'MOVIMENTAÇÃO'!$C:$C,A778,'MOVIMENTAÇÃO'!$B:$B,"PERDA")</f>
        <v>0</v>
      </c>
      <c r="G778" s="51">
        <f t="shared" si="2"/>
        <v>0</v>
      </c>
      <c r="I778" s="34"/>
    </row>
    <row r="779" ht="22.5" customHeight="1">
      <c r="A779" s="35"/>
      <c r="B779" s="35"/>
      <c r="C779" s="35"/>
      <c r="D779" s="50"/>
      <c r="F779" s="51">
        <f>SUMIFS('MOVIMENTAÇÃO'!$E:$E,'MOVIMENTAÇÃO'!$C:$C,A779,'MOVIMENTAÇÃO'!$B:$B,"PERDA")</f>
        <v>0</v>
      </c>
      <c r="G779" s="51">
        <f t="shared" si="2"/>
        <v>0</v>
      </c>
      <c r="I779" s="34"/>
    </row>
    <row r="780" ht="22.5" customHeight="1">
      <c r="A780" s="35"/>
      <c r="B780" s="35"/>
      <c r="C780" s="35"/>
      <c r="D780" s="50"/>
      <c r="F780" s="51">
        <f>SUMIFS('MOVIMENTAÇÃO'!$E:$E,'MOVIMENTAÇÃO'!$C:$C,A780,'MOVIMENTAÇÃO'!$B:$B,"PERDA")</f>
        <v>0</v>
      </c>
      <c r="G780" s="51">
        <f t="shared" si="2"/>
        <v>0</v>
      </c>
      <c r="I780" s="34"/>
    </row>
    <row r="781" ht="22.5" customHeight="1">
      <c r="A781" s="35"/>
      <c r="B781" s="35"/>
      <c r="C781" s="35"/>
      <c r="D781" s="50"/>
      <c r="F781" s="51">
        <f>SUMIFS('MOVIMENTAÇÃO'!$E:$E,'MOVIMENTAÇÃO'!$C:$C,A781,'MOVIMENTAÇÃO'!$B:$B,"PERDA")</f>
        <v>0</v>
      </c>
      <c r="G781" s="51">
        <f t="shared" si="2"/>
        <v>0</v>
      </c>
      <c r="I781" s="34"/>
    </row>
    <row r="782" ht="22.5" customHeight="1">
      <c r="A782" s="35"/>
      <c r="B782" s="35"/>
      <c r="C782" s="35"/>
      <c r="D782" s="50"/>
      <c r="F782" s="51">
        <f>SUMIFS('MOVIMENTAÇÃO'!$E:$E,'MOVIMENTAÇÃO'!$C:$C,A782,'MOVIMENTAÇÃO'!$B:$B,"PERDA")</f>
        <v>0</v>
      </c>
      <c r="G782" s="51">
        <f t="shared" si="2"/>
        <v>0</v>
      </c>
      <c r="I782" s="34"/>
    </row>
    <row r="783" ht="22.5" customHeight="1">
      <c r="A783" s="35"/>
      <c r="B783" s="35"/>
      <c r="C783" s="35"/>
      <c r="D783" s="50"/>
      <c r="F783" s="51">
        <f>SUMIFS('MOVIMENTAÇÃO'!$E:$E,'MOVIMENTAÇÃO'!$C:$C,A783,'MOVIMENTAÇÃO'!$B:$B,"PERDA")</f>
        <v>0</v>
      </c>
      <c r="G783" s="51">
        <f t="shared" si="2"/>
        <v>0</v>
      </c>
      <c r="I783" s="34"/>
    </row>
    <row r="784" ht="22.5" customHeight="1">
      <c r="A784" s="35"/>
      <c r="B784" s="35"/>
      <c r="C784" s="35"/>
      <c r="D784" s="50"/>
      <c r="F784" s="51">
        <f>SUMIFS('MOVIMENTAÇÃO'!$E:$E,'MOVIMENTAÇÃO'!$C:$C,A784,'MOVIMENTAÇÃO'!$B:$B,"PERDA")</f>
        <v>0</v>
      </c>
      <c r="G784" s="51">
        <f t="shared" si="2"/>
        <v>0</v>
      </c>
      <c r="I784" s="34"/>
    </row>
    <row r="785" ht="22.5" customHeight="1">
      <c r="A785" s="35"/>
      <c r="B785" s="35"/>
      <c r="C785" s="35"/>
      <c r="D785" s="50"/>
      <c r="F785" s="51">
        <f>SUMIFS('MOVIMENTAÇÃO'!$E:$E,'MOVIMENTAÇÃO'!$C:$C,A785,'MOVIMENTAÇÃO'!$B:$B,"PERDA")</f>
        <v>0</v>
      </c>
      <c r="G785" s="51">
        <f t="shared" si="2"/>
        <v>0</v>
      </c>
      <c r="I785" s="34"/>
    </row>
    <row r="786" ht="22.5" customHeight="1">
      <c r="A786" s="35"/>
      <c r="B786" s="35"/>
      <c r="C786" s="35"/>
      <c r="D786" s="50"/>
      <c r="F786" s="51">
        <f>SUMIFS('MOVIMENTAÇÃO'!$E:$E,'MOVIMENTAÇÃO'!$C:$C,A786,'MOVIMENTAÇÃO'!$B:$B,"PERDA")</f>
        <v>0</v>
      </c>
      <c r="G786" s="51">
        <f t="shared" si="2"/>
        <v>0</v>
      </c>
      <c r="I786" s="34"/>
    </row>
    <row r="787" ht="22.5" customHeight="1">
      <c r="A787" s="35"/>
      <c r="B787" s="35"/>
      <c r="C787" s="35"/>
      <c r="D787" s="50"/>
      <c r="F787" s="51">
        <f>SUMIFS('MOVIMENTAÇÃO'!$E:$E,'MOVIMENTAÇÃO'!$C:$C,A787,'MOVIMENTAÇÃO'!$B:$B,"PERDA")</f>
        <v>0</v>
      </c>
      <c r="G787" s="51">
        <f t="shared" si="2"/>
        <v>0</v>
      </c>
      <c r="I787" s="34"/>
    </row>
    <row r="788" ht="22.5" customHeight="1">
      <c r="A788" s="35"/>
      <c r="B788" s="35"/>
      <c r="C788" s="35"/>
      <c r="D788" s="50"/>
      <c r="F788" s="51">
        <f>SUMIFS('MOVIMENTAÇÃO'!$E:$E,'MOVIMENTAÇÃO'!$C:$C,A788,'MOVIMENTAÇÃO'!$B:$B,"PERDA")</f>
        <v>0</v>
      </c>
      <c r="G788" s="51">
        <f t="shared" si="2"/>
        <v>0</v>
      </c>
      <c r="I788" s="34"/>
    </row>
    <row r="789" ht="22.5" customHeight="1">
      <c r="A789" s="35"/>
      <c r="B789" s="35"/>
      <c r="C789" s="35"/>
      <c r="D789" s="50"/>
      <c r="F789" s="51">
        <f>SUMIFS('MOVIMENTAÇÃO'!$E:$E,'MOVIMENTAÇÃO'!$C:$C,A789,'MOVIMENTAÇÃO'!$B:$B,"PERDA")</f>
        <v>0</v>
      </c>
      <c r="G789" s="51">
        <f t="shared" si="2"/>
        <v>0</v>
      </c>
      <c r="I789" s="34"/>
    </row>
    <row r="790" ht="22.5" customHeight="1">
      <c r="A790" s="35"/>
      <c r="B790" s="35"/>
      <c r="C790" s="35"/>
      <c r="D790" s="50"/>
      <c r="F790" s="51">
        <f>SUMIFS('MOVIMENTAÇÃO'!$E:$E,'MOVIMENTAÇÃO'!$C:$C,A790,'MOVIMENTAÇÃO'!$B:$B,"PERDA")</f>
        <v>0</v>
      </c>
      <c r="G790" s="51">
        <f t="shared" si="2"/>
        <v>0</v>
      </c>
      <c r="I790" s="34"/>
    </row>
    <row r="791" ht="22.5" customHeight="1">
      <c r="A791" s="35"/>
      <c r="B791" s="35"/>
      <c r="C791" s="35"/>
      <c r="D791" s="50"/>
      <c r="F791" s="51">
        <f>SUMIFS('MOVIMENTAÇÃO'!$E:$E,'MOVIMENTAÇÃO'!$C:$C,A791,'MOVIMENTAÇÃO'!$B:$B,"PERDA")</f>
        <v>0</v>
      </c>
      <c r="G791" s="51">
        <f t="shared" si="2"/>
        <v>0</v>
      </c>
      <c r="I791" s="34"/>
    </row>
    <row r="792" ht="22.5" customHeight="1">
      <c r="A792" s="35"/>
      <c r="B792" s="35"/>
      <c r="C792" s="35"/>
      <c r="D792" s="50"/>
      <c r="F792" s="51">
        <f>SUMIFS('MOVIMENTAÇÃO'!$E:$E,'MOVIMENTAÇÃO'!$C:$C,A792,'MOVIMENTAÇÃO'!$B:$B,"PERDA")</f>
        <v>0</v>
      </c>
      <c r="G792" s="51">
        <f t="shared" si="2"/>
        <v>0</v>
      </c>
      <c r="I792" s="34"/>
    </row>
    <row r="793" ht="22.5" customHeight="1">
      <c r="A793" s="35"/>
      <c r="B793" s="35"/>
      <c r="C793" s="35"/>
      <c r="D793" s="50"/>
      <c r="F793" s="51">
        <f>SUMIFS('MOVIMENTAÇÃO'!$E:$E,'MOVIMENTAÇÃO'!$C:$C,A793,'MOVIMENTAÇÃO'!$B:$B,"PERDA")</f>
        <v>0</v>
      </c>
      <c r="G793" s="51">
        <f t="shared" si="2"/>
        <v>0</v>
      </c>
      <c r="I793" s="34"/>
    </row>
    <row r="794" ht="22.5" customHeight="1">
      <c r="A794" s="35"/>
      <c r="B794" s="35"/>
      <c r="C794" s="35"/>
      <c r="D794" s="50"/>
      <c r="F794" s="51">
        <f>SUMIFS('MOVIMENTAÇÃO'!$E:$E,'MOVIMENTAÇÃO'!$C:$C,A794,'MOVIMENTAÇÃO'!$B:$B,"PERDA")</f>
        <v>0</v>
      </c>
      <c r="G794" s="51">
        <f t="shared" si="2"/>
        <v>0</v>
      </c>
      <c r="I794" s="34"/>
    </row>
    <row r="795" ht="22.5" customHeight="1">
      <c r="A795" s="35"/>
      <c r="B795" s="35"/>
      <c r="C795" s="35"/>
      <c r="D795" s="50"/>
      <c r="F795" s="51">
        <f>SUMIFS('MOVIMENTAÇÃO'!$E:$E,'MOVIMENTAÇÃO'!$C:$C,A795,'MOVIMENTAÇÃO'!$B:$B,"PERDA")</f>
        <v>0</v>
      </c>
      <c r="G795" s="51">
        <f t="shared" si="2"/>
        <v>0</v>
      </c>
      <c r="I795" s="34"/>
    </row>
    <row r="796" ht="22.5" customHeight="1">
      <c r="A796" s="35"/>
      <c r="B796" s="35"/>
      <c r="C796" s="35"/>
      <c r="D796" s="50"/>
      <c r="F796" s="51">
        <f>SUMIFS('MOVIMENTAÇÃO'!$E:$E,'MOVIMENTAÇÃO'!$C:$C,A796,'MOVIMENTAÇÃO'!$B:$B,"PERDA")</f>
        <v>0</v>
      </c>
      <c r="G796" s="51">
        <f t="shared" si="2"/>
        <v>0</v>
      </c>
      <c r="I796" s="34"/>
    </row>
    <row r="797" ht="22.5" customHeight="1">
      <c r="A797" s="35"/>
      <c r="B797" s="35"/>
      <c r="C797" s="35"/>
      <c r="D797" s="50"/>
      <c r="F797" s="51">
        <f>SUMIFS('MOVIMENTAÇÃO'!$E:$E,'MOVIMENTAÇÃO'!$C:$C,A797,'MOVIMENTAÇÃO'!$B:$B,"PERDA")</f>
        <v>0</v>
      </c>
      <c r="G797" s="51">
        <f t="shared" si="2"/>
        <v>0</v>
      </c>
      <c r="I797" s="34"/>
    </row>
    <row r="798" ht="22.5" customHeight="1">
      <c r="A798" s="35"/>
      <c r="B798" s="35"/>
      <c r="C798" s="35"/>
      <c r="D798" s="50"/>
      <c r="F798" s="51">
        <f>SUMIFS('MOVIMENTAÇÃO'!$E:$E,'MOVIMENTAÇÃO'!$C:$C,A798,'MOVIMENTAÇÃO'!$B:$B,"PERDA")</f>
        <v>0</v>
      </c>
      <c r="G798" s="51">
        <f t="shared" si="2"/>
        <v>0</v>
      </c>
      <c r="I798" s="34"/>
    </row>
    <row r="799" ht="22.5" customHeight="1">
      <c r="A799" s="35"/>
      <c r="B799" s="35"/>
      <c r="C799" s="35"/>
      <c r="D799" s="50"/>
      <c r="F799" s="51">
        <f>SUMIFS('MOVIMENTAÇÃO'!$E:$E,'MOVIMENTAÇÃO'!$C:$C,A799,'MOVIMENTAÇÃO'!$B:$B,"PERDA")</f>
        <v>0</v>
      </c>
      <c r="G799" s="51">
        <f t="shared" si="2"/>
        <v>0</v>
      </c>
      <c r="I799" s="34"/>
    </row>
    <row r="800" ht="22.5" customHeight="1">
      <c r="A800" s="35"/>
      <c r="B800" s="35"/>
      <c r="C800" s="35"/>
      <c r="D800" s="50"/>
      <c r="F800" s="51">
        <f>SUMIFS('MOVIMENTAÇÃO'!$E:$E,'MOVIMENTAÇÃO'!$C:$C,A800,'MOVIMENTAÇÃO'!$B:$B,"PERDA")</f>
        <v>0</v>
      </c>
      <c r="G800" s="51">
        <f t="shared" si="2"/>
        <v>0</v>
      </c>
      <c r="I800" s="34"/>
    </row>
    <row r="801" ht="22.5" customHeight="1">
      <c r="A801" s="35"/>
      <c r="B801" s="35"/>
      <c r="C801" s="35"/>
      <c r="D801" s="50"/>
      <c r="F801" s="51">
        <f>SUMIFS('MOVIMENTAÇÃO'!$E:$E,'MOVIMENTAÇÃO'!$C:$C,A801,'MOVIMENTAÇÃO'!$B:$B,"PERDA")</f>
        <v>0</v>
      </c>
      <c r="G801" s="51">
        <f t="shared" si="2"/>
        <v>0</v>
      </c>
      <c r="I801" s="34"/>
    </row>
    <row r="802" ht="22.5" customHeight="1">
      <c r="A802" s="35"/>
      <c r="B802" s="35"/>
      <c r="C802" s="35"/>
      <c r="D802" s="50"/>
      <c r="F802" s="51">
        <f>SUMIFS('MOVIMENTAÇÃO'!$E:$E,'MOVIMENTAÇÃO'!$C:$C,A802,'MOVIMENTAÇÃO'!$B:$B,"PERDA")</f>
        <v>0</v>
      </c>
      <c r="G802" s="51">
        <f t="shared" si="2"/>
        <v>0</v>
      </c>
      <c r="I802" s="34"/>
    </row>
    <row r="803" ht="22.5" customHeight="1">
      <c r="A803" s="35"/>
      <c r="B803" s="35"/>
      <c r="C803" s="35"/>
      <c r="D803" s="50"/>
      <c r="F803" s="51">
        <f>SUMIFS('MOVIMENTAÇÃO'!$E:$E,'MOVIMENTAÇÃO'!$C:$C,A803,'MOVIMENTAÇÃO'!$B:$B,"PERDA")</f>
        <v>0</v>
      </c>
      <c r="G803" s="51">
        <f t="shared" si="2"/>
        <v>0</v>
      </c>
      <c r="I803" s="34"/>
    </row>
    <row r="804" ht="22.5" customHeight="1">
      <c r="A804" s="35"/>
      <c r="B804" s="35"/>
      <c r="C804" s="35"/>
      <c r="D804" s="50"/>
      <c r="F804" s="51">
        <f>SUMIFS('MOVIMENTAÇÃO'!$E:$E,'MOVIMENTAÇÃO'!$C:$C,A804,'MOVIMENTAÇÃO'!$B:$B,"PERDA")</f>
        <v>0</v>
      </c>
      <c r="G804" s="51">
        <f t="shared" si="2"/>
        <v>0</v>
      </c>
      <c r="I804" s="34"/>
    </row>
    <row r="805" ht="22.5" customHeight="1">
      <c r="A805" s="35"/>
      <c r="B805" s="35"/>
      <c r="C805" s="35"/>
      <c r="D805" s="50"/>
      <c r="F805" s="51">
        <f>SUMIFS('MOVIMENTAÇÃO'!$E:$E,'MOVIMENTAÇÃO'!$C:$C,A805,'MOVIMENTAÇÃO'!$B:$B,"PERDA")</f>
        <v>0</v>
      </c>
      <c r="G805" s="51">
        <f t="shared" si="2"/>
        <v>0</v>
      </c>
      <c r="I805" s="34"/>
    </row>
    <row r="806" ht="22.5" customHeight="1">
      <c r="A806" s="35"/>
      <c r="B806" s="35"/>
      <c r="C806" s="35"/>
      <c r="D806" s="50"/>
      <c r="F806" s="51">
        <f>SUMIFS('MOVIMENTAÇÃO'!$E:$E,'MOVIMENTAÇÃO'!$C:$C,A806,'MOVIMENTAÇÃO'!$B:$B,"PERDA")</f>
        <v>0</v>
      </c>
      <c r="G806" s="51">
        <f t="shared" si="2"/>
        <v>0</v>
      </c>
      <c r="I806" s="34"/>
    </row>
    <row r="807" ht="22.5" customHeight="1">
      <c r="A807" s="35"/>
      <c r="B807" s="35"/>
      <c r="C807" s="35"/>
      <c r="D807" s="50"/>
      <c r="F807" s="51">
        <f>SUMIFS('MOVIMENTAÇÃO'!$E:$E,'MOVIMENTAÇÃO'!$C:$C,A807,'MOVIMENTAÇÃO'!$B:$B,"PERDA")</f>
        <v>0</v>
      </c>
      <c r="G807" s="51">
        <f t="shared" si="2"/>
        <v>0</v>
      </c>
      <c r="I807" s="34"/>
    </row>
    <row r="808" ht="22.5" customHeight="1">
      <c r="A808" s="35"/>
      <c r="B808" s="35"/>
      <c r="C808" s="35"/>
      <c r="D808" s="50"/>
      <c r="F808" s="51">
        <f>SUMIFS('MOVIMENTAÇÃO'!$E:$E,'MOVIMENTAÇÃO'!$C:$C,A808,'MOVIMENTAÇÃO'!$B:$B,"PERDA")</f>
        <v>0</v>
      </c>
      <c r="G808" s="51">
        <f t="shared" si="2"/>
        <v>0</v>
      </c>
      <c r="I808" s="34"/>
    </row>
    <row r="809" ht="22.5" customHeight="1">
      <c r="A809" s="35"/>
      <c r="B809" s="35"/>
      <c r="C809" s="35"/>
      <c r="D809" s="50"/>
      <c r="F809" s="51">
        <f>SUMIFS('MOVIMENTAÇÃO'!$E:$E,'MOVIMENTAÇÃO'!$C:$C,A809,'MOVIMENTAÇÃO'!$B:$B,"PERDA")</f>
        <v>0</v>
      </c>
      <c r="G809" s="51">
        <f t="shared" si="2"/>
        <v>0</v>
      </c>
      <c r="I809" s="34"/>
    </row>
    <row r="810" ht="22.5" customHeight="1">
      <c r="A810" s="35"/>
      <c r="B810" s="35"/>
      <c r="C810" s="35"/>
      <c r="D810" s="50"/>
      <c r="F810" s="51">
        <f>SUMIFS('MOVIMENTAÇÃO'!$E:$E,'MOVIMENTAÇÃO'!$C:$C,A810,'MOVIMENTAÇÃO'!$B:$B,"PERDA")</f>
        <v>0</v>
      </c>
      <c r="G810" s="51">
        <f t="shared" si="2"/>
        <v>0</v>
      </c>
      <c r="I810" s="34"/>
    </row>
    <row r="811" ht="22.5" customHeight="1">
      <c r="A811" s="35"/>
      <c r="B811" s="35"/>
      <c r="C811" s="35"/>
      <c r="D811" s="50"/>
      <c r="F811" s="51">
        <f>SUMIFS('MOVIMENTAÇÃO'!$E:$E,'MOVIMENTAÇÃO'!$C:$C,A811,'MOVIMENTAÇÃO'!$B:$B,"PERDA")</f>
        <v>0</v>
      </c>
      <c r="G811" s="51">
        <f t="shared" si="2"/>
        <v>0</v>
      </c>
      <c r="I811" s="34"/>
    </row>
    <row r="812" ht="22.5" customHeight="1">
      <c r="A812" s="35"/>
      <c r="B812" s="35"/>
      <c r="C812" s="35"/>
      <c r="D812" s="50"/>
      <c r="F812" s="51">
        <f>SUMIFS('MOVIMENTAÇÃO'!$E:$E,'MOVIMENTAÇÃO'!$C:$C,A812,'MOVIMENTAÇÃO'!$B:$B,"PERDA")</f>
        <v>0</v>
      </c>
      <c r="G812" s="51">
        <f t="shared" si="2"/>
        <v>0</v>
      </c>
      <c r="I812" s="34"/>
    </row>
    <row r="813" ht="22.5" customHeight="1">
      <c r="A813" s="35"/>
      <c r="B813" s="35"/>
      <c r="C813" s="35"/>
      <c r="D813" s="50"/>
      <c r="F813" s="51">
        <f>SUMIFS('MOVIMENTAÇÃO'!$E:$E,'MOVIMENTAÇÃO'!$C:$C,A813,'MOVIMENTAÇÃO'!$B:$B,"PERDA")</f>
        <v>0</v>
      </c>
      <c r="G813" s="51">
        <f t="shared" si="2"/>
        <v>0</v>
      </c>
      <c r="I813" s="34"/>
    </row>
    <row r="814" ht="22.5" customHeight="1">
      <c r="A814" s="35"/>
      <c r="B814" s="35"/>
      <c r="C814" s="35"/>
      <c r="D814" s="50"/>
      <c r="F814" s="51">
        <f>SUMIFS('MOVIMENTAÇÃO'!$E:$E,'MOVIMENTAÇÃO'!$C:$C,A814,'MOVIMENTAÇÃO'!$B:$B,"PERDA")</f>
        <v>0</v>
      </c>
      <c r="G814" s="51">
        <f t="shared" si="2"/>
        <v>0</v>
      </c>
      <c r="I814" s="34"/>
    </row>
    <row r="815" ht="22.5" customHeight="1">
      <c r="A815" s="35"/>
      <c r="B815" s="35"/>
      <c r="C815" s="35"/>
      <c r="D815" s="50"/>
      <c r="F815" s="51">
        <f>SUMIFS('MOVIMENTAÇÃO'!$E:$E,'MOVIMENTAÇÃO'!$C:$C,A815,'MOVIMENTAÇÃO'!$B:$B,"PERDA")</f>
        <v>0</v>
      </c>
      <c r="G815" s="51">
        <f t="shared" si="2"/>
        <v>0</v>
      </c>
      <c r="I815" s="34"/>
    </row>
    <row r="816" ht="22.5" customHeight="1">
      <c r="A816" s="35"/>
      <c r="B816" s="35"/>
      <c r="C816" s="35"/>
      <c r="D816" s="50"/>
      <c r="F816" s="51">
        <f>SUMIFS('MOVIMENTAÇÃO'!$E:$E,'MOVIMENTAÇÃO'!$C:$C,A816,'MOVIMENTAÇÃO'!$B:$B,"PERDA")</f>
        <v>0</v>
      </c>
      <c r="G816" s="51">
        <f t="shared" si="2"/>
        <v>0</v>
      </c>
      <c r="I816" s="34"/>
    </row>
    <row r="817" ht="22.5" customHeight="1">
      <c r="A817" s="35"/>
      <c r="B817" s="35"/>
      <c r="C817" s="35"/>
      <c r="D817" s="50"/>
      <c r="F817" s="51">
        <f>SUMIFS('MOVIMENTAÇÃO'!$E:$E,'MOVIMENTAÇÃO'!$C:$C,A817,'MOVIMENTAÇÃO'!$B:$B,"PERDA")</f>
        <v>0</v>
      </c>
      <c r="G817" s="51">
        <f t="shared" si="2"/>
        <v>0</v>
      </c>
      <c r="I817" s="34"/>
    </row>
    <row r="818" ht="22.5" customHeight="1">
      <c r="A818" s="35"/>
      <c r="B818" s="35"/>
      <c r="C818" s="35"/>
      <c r="D818" s="50"/>
      <c r="F818" s="51">
        <f>SUMIFS('MOVIMENTAÇÃO'!$E:$E,'MOVIMENTAÇÃO'!$C:$C,A818,'MOVIMENTAÇÃO'!$B:$B,"PERDA")</f>
        <v>0</v>
      </c>
      <c r="G818" s="51">
        <f t="shared" si="2"/>
        <v>0</v>
      </c>
      <c r="I818" s="34"/>
    </row>
    <row r="819" ht="22.5" customHeight="1">
      <c r="A819" s="35"/>
      <c r="B819" s="35"/>
      <c r="C819" s="35"/>
      <c r="D819" s="50"/>
      <c r="F819" s="51">
        <f>SUMIFS('MOVIMENTAÇÃO'!$E:$E,'MOVIMENTAÇÃO'!$C:$C,A819,'MOVIMENTAÇÃO'!$B:$B,"PERDA")</f>
        <v>0</v>
      </c>
      <c r="G819" s="51">
        <f t="shared" si="2"/>
        <v>0</v>
      </c>
      <c r="I819" s="34"/>
    </row>
    <row r="820" ht="22.5" customHeight="1">
      <c r="A820" s="35"/>
      <c r="B820" s="35"/>
      <c r="C820" s="35"/>
      <c r="D820" s="50"/>
      <c r="F820" s="51">
        <f>SUMIFS('MOVIMENTAÇÃO'!$E:$E,'MOVIMENTAÇÃO'!$C:$C,A820,'MOVIMENTAÇÃO'!$B:$B,"PERDA")</f>
        <v>0</v>
      </c>
      <c r="G820" s="51">
        <f t="shared" si="2"/>
        <v>0</v>
      </c>
      <c r="I820" s="34"/>
    </row>
    <row r="821" ht="22.5" customHeight="1">
      <c r="A821" s="35"/>
      <c r="B821" s="35"/>
      <c r="C821" s="35"/>
      <c r="D821" s="50"/>
      <c r="F821" s="51">
        <f>SUMIFS('MOVIMENTAÇÃO'!$E:$E,'MOVIMENTAÇÃO'!$C:$C,A821,'MOVIMENTAÇÃO'!$B:$B,"PERDA")</f>
        <v>0</v>
      </c>
      <c r="G821" s="51">
        <f t="shared" si="2"/>
        <v>0</v>
      </c>
      <c r="I821" s="34"/>
    </row>
    <row r="822" ht="22.5" customHeight="1">
      <c r="A822" s="35"/>
      <c r="B822" s="35"/>
      <c r="C822" s="35"/>
      <c r="D822" s="50"/>
      <c r="F822" s="51">
        <f>SUMIFS('MOVIMENTAÇÃO'!$E:$E,'MOVIMENTAÇÃO'!$C:$C,A822,'MOVIMENTAÇÃO'!$B:$B,"PERDA")</f>
        <v>0</v>
      </c>
      <c r="G822" s="51">
        <f t="shared" si="2"/>
        <v>0</v>
      </c>
      <c r="I822" s="34"/>
    </row>
    <row r="823" ht="22.5" customHeight="1">
      <c r="A823" s="35"/>
      <c r="B823" s="35"/>
      <c r="C823" s="35"/>
      <c r="D823" s="50"/>
      <c r="F823" s="51">
        <f>SUMIFS('MOVIMENTAÇÃO'!$E:$E,'MOVIMENTAÇÃO'!$C:$C,A823,'MOVIMENTAÇÃO'!$B:$B,"PERDA")</f>
        <v>0</v>
      </c>
      <c r="G823" s="51">
        <f t="shared" si="2"/>
        <v>0</v>
      </c>
      <c r="I823" s="34"/>
    </row>
    <row r="824" ht="22.5" customHeight="1">
      <c r="A824" s="35"/>
      <c r="B824" s="35"/>
      <c r="C824" s="35"/>
      <c r="D824" s="50"/>
      <c r="F824" s="51">
        <f>SUMIFS('MOVIMENTAÇÃO'!$E:$E,'MOVIMENTAÇÃO'!$C:$C,A824,'MOVIMENTAÇÃO'!$B:$B,"PERDA")</f>
        <v>0</v>
      </c>
      <c r="G824" s="51">
        <f t="shared" si="2"/>
        <v>0</v>
      </c>
      <c r="I824" s="34"/>
    </row>
    <row r="825" ht="22.5" customHeight="1">
      <c r="A825" s="35"/>
      <c r="B825" s="35"/>
      <c r="C825" s="35"/>
      <c r="D825" s="50"/>
      <c r="F825" s="51">
        <f>SUMIFS('MOVIMENTAÇÃO'!$E:$E,'MOVIMENTAÇÃO'!$C:$C,A825,'MOVIMENTAÇÃO'!$B:$B,"PERDA")</f>
        <v>0</v>
      </c>
      <c r="G825" s="51">
        <f t="shared" si="2"/>
        <v>0</v>
      </c>
      <c r="I825" s="34"/>
    </row>
    <row r="826" ht="22.5" customHeight="1">
      <c r="A826" s="35"/>
      <c r="B826" s="35"/>
      <c r="C826" s="35"/>
      <c r="D826" s="50"/>
      <c r="F826" s="51">
        <f>SUMIFS('MOVIMENTAÇÃO'!$E:$E,'MOVIMENTAÇÃO'!$C:$C,A826,'MOVIMENTAÇÃO'!$B:$B,"PERDA")</f>
        <v>0</v>
      </c>
      <c r="G826" s="51">
        <f t="shared" si="2"/>
        <v>0</v>
      </c>
      <c r="I826" s="34"/>
    </row>
    <row r="827" ht="22.5" customHeight="1">
      <c r="A827" s="35"/>
      <c r="B827" s="35"/>
      <c r="C827" s="35"/>
      <c r="D827" s="50"/>
      <c r="F827" s="51">
        <f>SUMIFS('MOVIMENTAÇÃO'!$E:$E,'MOVIMENTAÇÃO'!$C:$C,A827,'MOVIMENTAÇÃO'!$B:$B,"PERDA")</f>
        <v>0</v>
      </c>
      <c r="G827" s="51">
        <f t="shared" si="2"/>
        <v>0</v>
      </c>
      <c r="I827" s="34"/>
    </row>
    <row r="828" ht="22.5" customHeight="1">
      <c r="A828" s="35"/>
      <c r="B828" s="35"/>
      <c r="C828" s="35"/>
      <c r="D828" s="50"/>
      <c r="F828" s="51">
        <f>SUMIFS('MOVIMENTAÇÃO'!$E:$E,'MOVIMENTAÇÃO'!$C:$C,A828,'MOVIMENTAÇÃO'!$B:$B,"PERDA")</f>
        <v>0</v>
      </c>
      <c r="G828" s="51">
        <f t="shared" si="2"/>
        <v>0</v>
      </c>
      <c r="I828" s="34"/>
    </row>
    <row r="829" ht="22.5" customHeight="1">
      <c r="A829" s="35"/>
      <c r="B829" s="35"/>
      <c r="C829" s="35"/>
      <c r="D829" s="50"/>
      <c r="F829" s="51">
        <f>SUMIFS('MOVIMENTAÇÃO'!$E:$E,'MOVIMENTAÇÃO'!$C:$C,A829,'MOVIMENTAÇÃO'!$B:$B,"PERDA")</f>
        <v>0</v>
      </c>
      <c r="G829" s="51">
        <f t="shared" si="2"/>
        <v>0</v>
      </c>
      <c r="I829" s="34"/>
    </row>
    <row r="830" ht="22.5" customHeight="1">
      <c r="A830" s="35"/>
      <c r="B830" s="35"/>
      <c r="C830" s="35"/>
      <c r="D830" s="50"/>
      <c r="F830" s="51">
        <f>SUMIFS('MOVIMENTAÇÃO'!$E:$E,'MOVIMENTAÇÃO'!$C:$C,A830,'MOVIMENTAÇÃO'!$B:$B,"PERDA")</f>
        <v>0</v>
      </c>
      <c r="G830" s="51">
        <f t="shared" si="2"/>
        <v>0</v>
      </c>
      <c r="I830" s="34"/>
    </row>
    <row r="831" ht="22.5" customHeight="1">
      <c r="A831" s="35"/>
      <c r="B831" s="35"/>
      <c r="C831" s="35"/>
      <c r="D831" s="50"/>
      <c r="F831" s="51">
        <f>SUMIFS('MOVIMENTAÇÃO'!$E:$E,'MOVIMENTAÇÃO'!$C:$C,A831,'MOVIMENTAÇÃO'!$B:$B,"PERDA")</f>
        <v>0</v>
      </c>
      <c r="G831" s="51">
        <f t="shared" si="2"/>
        <v>0</v>
      </c>
      <c r="I831" s="34"/>
    </row>
    <row r="832" ht="22.5" customHeight="1">
      <c r="A832" s="35"/>
      <c r="B832" s="35"/>
      <c r="C832" s="35"/>
      <c r="D832" s="50"/>
      <c r="F832" s="51">
        <f>SUMIFS('MOVIMENTAÇÃO'!$E:$E,'MOVIMENTAÇÃO'!$C:$C,A832,'MOVIMENTAÇÃO'!$B:$B,"PERDA")</f>
        <v>0</v>
      </c>
      <c r="G832" s="51">
        <f t="shared" si="2"/>
        <v>0</v>
      </c>
      <c r="I832" s="34"/>
    </row>
    <row r="833" ht="22.5" customHeight="1">
      <c r="A833" s="35"/>
      <c r="B833" s="35"/>
      <c r="C833" s="35"/>
      <c r="D833" s="50"/>
      <c r="F833" s="51">
        <f>SUMIFS('MOVIMENTAÇÃO'!$E:$E,'MOVIMENTAÇÃO'!$C:$C,A833,'MOVIMENTAÇÃO'!$B:$B,"PERDA")</f>
        <v>0</v>
      </c>
      <c r="G833" s="51">
        <f t="shared" si="2"/>
        <v>0</v>
      </c>
      <c r="I833" s="34"/>
    </row>
    <row r="834" ht="22.5" customHeight="1">
      <c r="A834" s="35"/>
      <c r="B834" s="35"/>
      <c r="C834" s="35"/>
      <c r="D834" s="50"/>
      <c r="F834" s="51">
        <f>SUMIFS('MOVIMENTAÇÃO'!$E:$E,'MOVIMENTAÇÃO'!$C:$C,A834,'MOVIMENTAÇÃO'!$B:$B,"PERDA")</f>
        <v>0</v>
      </c>
      <c r="G834" s="51">
        <f t="shared" si="2"/>
        <v>0</v>
      </c>
      <c r="I834" s="34"/>
    </row>
    <row r="835" ht="22.5" customHeight="1">
      <c r="A835" s="35"/>
      <c r="B835" s="35"/>
      <c r="C835" s="35"/>
      <c r="D835" s="50"/>
      <c r="F835" s="51">
        <f>SUMIFS('MOVIMENTAÇÃO'!$E:$E,'MOVIMENTAÇÃO'!$C:$C,A835,'MOVIMENTAÇÃO'!$B:$B,"PERDA")</f>
        <v>0</v>
      </c>
      <c r="G835" s="51">
        <f t="shared" si="2"/>
        <v>0</v>
      </c>
      <c r="I835" s="34"/>
    </row>
    <row r="836" ht="22.5" customHeight="1">
      <c r="A836" s="35"/>
      <c r="B836" s="35"/>
      <c r="C836" s="35"/>
      <c r="D836" s="50"/>
      <c r="F836" s="51">
        <f>SUMIFS('MOVIMENTAÇÃO'!$E:$E,'MOVIMENTAÇÃO'!$C:$C,A836,'MOVIMENTAÇÃO'!$B:$B,"PERDA")</f>
        <v>0</v>
      </c>
      <c r="G836" s="51">
        <f t="shared" si="2"/>
        <v>0</v>
      </c>
      <c r="I836" s="34"/>
    </row>
    <row r="837" ht="22.5" customHeight="1">
      <c r="A837" s="35"/>
      <c r="B837" s="35"/>
      <c r="C837" s="35"/>
      <c r="D837" s="50"/>
      <c r="F837" s="51">
        <f>SUMIFS('MOVIMENTAÇÃO'!$E:$E,'MOVIMENTAÇÃO'!$C:$C,A837,'MOVIMENTAÇÃO'!$B:$B,"PERDA")</f>
        <v>0</v>
      </c>
      <c r="G837" s="51">
        <f t="shared" si="2"/>
        <v>0</v>
      </c>
      <c r="I837" s="34"/>
    </row>
    <row r="838" ht="22.5" customHeight="1">
      <c r="A838" s="35"/>
      <c r="B838" s="35"/>
      <c r="C838" s="35"/>
      <c r="D838" s="50"/>
      <c r="F838" s="51">
        <f>SUMIFS('MOVIMENTAÇÃO'!$E:$E,'MOVIMENTAÇÃO'!$C:$C,A838,'MOVIMENTAÇÃO'!$B:$B,"PERDA")</f>
        <v>0</v>
      </c>
      <c r="G838" s="51">
        <f t="shared" si="2"/>
        <v>0</v>
      </c>
      <c r="I838" s="34"/>
    </row>
    <row r="839" ht="22.5" customHeight="1">
      <c r="A839" s="35"/>
      <c r="B839" s="35"/>
      <c r="C839" s="35"/>
      <c r="D839" s="50"/>
      <c r="F839" s="51">
        <f>SUMIFS('MOVIMENTAÇÃO'!$E:$E,'MOVIMENTAÇÃO'!$C:$C,A839,'MOVIMENTAÇÃO'!$B:$B,"PERDA")</f>
        <v>0</v>
      </c>
      <c r="G839" s="51">
        <f t="shared" si="2"/>
        <v>0</v>
      </c>
      <c r="I839" s="34"/>
    </row>
    <row r="840" ht="22.5" customHeight="1">
      <c r="A840" s="35"/>
      <c r="B840" s="35"/>
      <c r="C840" s="35"/>
      <c r="D840" s="50"/>
      <c r="F840" s="51">
        <f>SUMIFS('MOVIMENTAÇÃO'!$E:$E,'MOVIMENTAÇÃO'!$C:$C,A840,'MOVIMENTAÇÃO'!$B:$B,"PERDA")</f>
        <v>0</v>
      </c>
      <c r="G840" s="51">
        <f t="shared" si="2"/>
        <v>0</v>
      </c>
      <c r="I840" s="34"/>
    </row>
    <row r="841" ht="22.5" customHeight="1">
      <c r="A841" s="35"/>
      <c r="B841" s="35"/>
      <c r="C841" s="35"/>
      <c r="D841" s="50"/>
      <c r="F841" s="51">
        <f>SUMIFS('MOVIMENTAÇÃO'!$E:$E,'MOVIMENTAÇÃO'!$C:$C,A841,'MOVIMENTAÇÃO'!$B:$B,"PERDA")</f>
        <v>0</v>
      </c>
      <c r="G841" s="51">
        <f t="shared" si="2"/>
        <v>0</v>
      </c>
      <c r="I841" s="34"/>
    </row>
    <row r="842" ht="22.5" customHeight="1">
      <c r="A842" s="35"/>
      <c r="B842" s="35"/>
      <c r="C842" s="35"/>
      <c r="D842" s="50"/>
      <c r="F842" s="51">
        <f>SUMIFS('MOVIMENTAÇÃO'!$E:$E,'MOVIMENTAÇÃO'!$C:$C,A842,'MOVIMENTAÇÃO'!$B:$B,"PERDA")</f>
        <v>0</v>
      </c>
      <c r="G842" s="51">
        <f t="shared" si="2"/>
        <v>0</v>
      </c>
      <c r="I842" s="34"/>
    </row>
    <row r="843" ht="22.5" customHeight="1">
      <c r="A843" s="35"/>
      <c r="B843" s="35"/>
      <c r="C843" s="35"/>
      <c r="D843" s="50"/>
      <c r="F843" s="51">
        <f>SUMIFS('MOVIMENTAÇÃO'!$E:$E,'MOVIMENTAÇÃO'!$C:$C,A843,'MOVIMENTAÇÃO'!$B:$B,"PERDA")</f>
        <v>0</v>
      </c>
      <c r="G843" s="51">
        <f t="shared" si="2"/>
        <v>0</v>
      </c>
      <c r="I843" s="34"/>
    </row>
    <row r="844" ht="22.5" customHeight="1">
      <c r="A844" s="35"/>
      <c r="B844" s="35"/>
      <c r="C844" s="35"/>
      <c r="D844" s="50"/>
      <c r="F844" s="51">
        <f>SUMIFS('MOVIMENTAÇÃO'!$E:$E,'MOVIMENTAÇÃO'!$C:$C,A844,'MOVIMENTAÇÃO'!$B:$B,"PERDA")</f>
        <v>0</v>
      </c>
      <c r="G844" s="51">
        <f t="shared" si="2"/>
        <v>0</v>
      </c>
      <c r="I844" s="34"/>
    </row>
    <row r="845" ht="22.5" customHeight="1">
      <c r="A845" s="35"/>
      <c r="B845" s="35"/>
      <c r="C845" s="35"/>
      <c r="D845" s="50"/>
      <c r="F845" s="51">
        <f>SUMIFS('MOVIMENTAÇÃO'!$E:$E,'MOVIMENTAÇÃO'!$C:$C,A845,'MOVIMENTAÇÃO'!$B:$B,"PERDA")</f>
        <v>0</v>
      </c>
      <c r="G845" s="51">
        <f t="shared" si="2"/>
        <v>0</v>
      </c>
      <c r="I845" s="34"/>
    </row>
    <row r="846" ht="22.5" customHeight="1">
      <c r="A846" s="35"/>
      <c r="B846" s="35"/>
      <c r="C846" s="35"/>
      <c r="D846" s="50"/>
      <c r="F846" s="51">
        <f>SUMIFS('MOVIMENTAÇÃO'!$E:$E,'MOVIMENTAÇÃO'!$C:$C,A846,'MOVIMENTAÇÃO'!$B:$B,"PERDA")</f>
        <v>0</v>
      </c>
      <c r="G846" s="51">
        <f t="shared" si="2"/>
        <v>0</v>
      </c>
      <c r="I846" s="34"/>
    </row>
    <row r="847" ht="22.5" customHeight="1">
      <c r="A847" s="35"/>
      <c r="B847" s="35"/>
      <c r="C847" s="35"/>
      <c r="D847" s="50"/>
      <c r="F847" s="51">
        <f>SUMIFS('MOVIMENTAÇÃO'!$E:$E,'MOVIMENTAÇÃO'!$C:$C,A847,'MOVIMENTAÇÃO'!$B:$B,"PERDA")</f>
        <v>0</v>
      </c>
      <c r="G847" s="51">
        <f t="shared" si="2"/>
        <v>0</v>
      </c>
      <c r="I847" s="34"/>
    </row>
    <row r="848" ht="22.5" customHeight="1">
      <c r="A848" s="35"/>
      <c r="B848" s="35"/>
      <c r="C848" s="35"/>
      <c r="D848" s="50"/>
      <c r="F848" s="51">
        <f>SUMIFS('MOVIMENTAÇÃO'!$E:$E,'MOVIMENTAÇÃO'!$C:$C,A848,'MOVIMENTAÇÃO'!$B:$B,"PERDA")</f>
        <v>0</v>
      </c>
      <c r="G848" s="51">
        <f t="shared" si="2"/>
        <v>0</v>
      </c>
      <c r="I848" s="34"/>
    </row>
    <row r="849" ht="22.5" customHeight="1">
      <c r="A849" s="35"/>
      <c r="B849" s="35"/>
      <c r="C849" s="35"/>
      <c r="D849" s="50"/>
      <c r="F849" s="51">
        <f>SUMIFS('MOVIMENTAÇÃO'!$E:$E,'MOVIMENTAÇÃO'!$C:$C,A849,'MOVIMENTAÇÃO'!$B:$B,"PERDA")</f>
        <v>0</v>
      </c>
      <c r="G849" s="51">
        <f t="shared" si="2"/>
        <v>0</v>
      </c>
      <c r="I849" s="34"/>
    </row>
    <row r="850" ht="22.5" customHeight="1">
      <c r="A850" s="35"/>
      <c r="B850" s="35"/>
      <c r="C850" s="35"/>
      <c r="D850" s="50"/>
      <c r="F850" s="51">
        <f>SUMIFS('MOVIMENTAÇÃO'!$E:$E,'MOVIMENTAÇÃO'!$C:$C,A850,'MOVIMENTAÇÃO'!$B:$B,"PERDA")</f>
        <v>0</v>
      </c>
      <c r="G850" s="51">
        <f t="shared" si="2"/>
        <v>0</v>
      </c>
      <c r="I850" s="34"/>
    </row>
    <row r="851" ht="22.5" customHeight="1">
      <c r="A851" s="35"/>
      <c r="B851" s="35"/>
      <c r="C851" s="35"/>
      <c r="D851" s="50"/>
      <c r="F851" s="51">
        <f>SUMIFS('MOVIMENTAÇÃO'!$E:$E,'MOVIMENTAÇÃO'!$C:$C,A851,'MOVIMENTAÇÃO'!$B:$B,"PERDA")</f>
        <v>0</v>
      </c>
      <c r="G851" s="51">
        <f t="shared" si="2"/>
        <v>0</v>
      </c>
      <c r="I851" s="34"/>
    </row>
    <row r="852" ht="22.5" customHeight="1">
      <c r="A852" s="35"/>
      <c r="B852" s="35"/>
      <c r="C852" s="35"/>
      <c r="D852" s="50"/>
      <c r="F852" s="51">
        <f>SUMIFS('MOVIMENTAÇÃO'!$E:$E,'MOVIMENTAÇÃO'!$C:$C,A852,'MOVIMENTAÇÃO'!$B:$B,"PERDA")</f>
        <v>0</v>
      </c>
      <c r="G852" s="51">
        <f t="shared" si="2"/>
        <v>0</v>
      </c>
      <c r="I852" s="34"/>
    </row>
    <row r="853" ht="22.5" customHeight="1">
      <c r="A853" s="35"/>
      <c r="B853" s="35"/>
      <c r="C853" s="35"/>
      <c r="D853" s="50"/>
      <c r="F853" s="51">
        <f>SUMIFS('MOVIMENTAÇÃO'!$E:$E,'MOVIMENTAÇÃO'!$C:$C,A853,'MOVIMENTAÇÃO'!$B:$B,"PERDA")</f>
        <v>0</v>
      </c>
      <c r="G853" s="51">
        <f t="shared" si="2"/>
        <v>0</v>
      </c>
      <c r="I853" s="34"/>
    </row>
    <row r="854" ht="22.5" customHeight="1">
      <c r="A854" s="35"/>
      <c r="B854" s="35"/>
      <c r="C854" s="35"/>
      <c r="D854" s="50"/>
      <c r="F854" s="51">
        <f>SUMIFS('MOVIMENTAÇÃO'!$E:$E,'MOVIMENTAÇÃO'!$C:$C,A854,'MOVIMENTAÇÃO'!$B:$B,"PERDA")</f>
        <v>0</v>
      </c>
      <c r="G854" s="51">
        <f t="shared" si="2"/>
        <v>0</v>
      </c>
      <c r="I854" s="34"/>
    </row>
    <row r="855" ht="22.5" customHeight="1">
      <c r="A855" s="35"/>
      <c r="B855" s="35"/>
      <c r="C855" s="35"/>
      <c r="D855" s="50"/>
      <c r="F855" s="51">
        <f>SUMIFS('MOVIMENTAÇÃO'!$E:$E,'MOVIMENTAÇÃO'!$C:$C,A855,'MOVIMENTAÇÃO'!$B:$B,"PERDA")</f>
        <v>0</v>
      </c>
      <c r="G855" s="51">
        <f t="shared" si="2"/>
        <v>0</v>
      </c>
      <c r="I855" s="34"/>
    </row>
    <row r="856" ht="22.5" customHeight="1">
      <c r="A856" s="35"/>
      <c r="B856" s="35"/>
      <c r="C856" s="35"/>
      <c r="D856" s="50"/>
      <c r="F856" s="51">
        <f>SUMIFS('MOVIMENTAÇÃO'!$E:$E,'MOVIMENTAÇÃO'!$C:$C,A856,'MOVIMENTAÇÃO'!$B:$B,"PERDA")</f>
        <v>0</v>
      </c>
      <c r="G856" s="51">
        <f t="shared" si="2"/>
        <v>0</v>
      </c>
      <c r="I856" s="34"/>
    </row>
    <row r="857" ht="22.5" customHeight="1">
      <c r="A857" s="35"/>
      <c r="B857" s="35"/>
      <c r="C857" s="35"/>
      <c r="D857" s="50"/>
      <c r="F857" s="51">
        <f>SUMIFS('MOVIMENTAÇÃO'!$E:$E,'MOVIMENTAÇÃO'!$C:$C,A857,'MOVIMENTAÇÃO'!$B:$B,"PERDA")</f>
        <v>0</v>
      </c>
      <c r="G857" s="51">
        <f t="shared" si="2"/>
        <v>0</v>
      </c>
      <c r="I857" s="34"/>
    </row>
    <row r="858" ht="22.5" customHeight="1">
      <c r="A858" s="35"/>
      <c r="B858" s="35"/>
      <c r="C858" s="35"/>
      <c r="D858" s="50"/>
      <c r="F858" s="51">
        <f>SUMIFS('MOVIMENTAÇÃO'!$E:$E,'MOVIMENTAÇÃO'!$C:$C,A858,'MOVIMENTAÇÃO'!$B:$B,"PERDA")</f>
        <v>0</v>
      </c>
      <c r="G858" s="51">
        <f t="shared" si="2"/>
        <v>0</v>
      </c>
      <c r="I858" s="34"/>
    </row>
    <row r="859" ht="22.5" customHeight="1">
      <c r="A859" s="35"/>
      <c r="B859" s="35"/>
      <c r="C859" s="35"/>
      <c r="D859" s="50"/>
      <c r="F859" s="51">
        <f>SUMIFS('MOVIMENTAÇÃO'!$E:$E,'MOVIMENTAÇÃO'!$C:$C,A859,'MOVIMENTAÇÃO'!$B:$B,"PERDA")</f>
        <v>0</v>
      </c>
      <c r="G859" s="51">
        <f t="shared" si="2"/>
        <v>0</v>
      </c>
      <c r="I859" s="34"/>
    </row>
    <row r="860" ht="22.5" customHeight="1">
      <c r="A860" s="35"/>
      <c r="B860" s="35"/>
      <c r="C860" s="35"/>
      <c r="D860" s="50"/>
      <c r="F860" s="51">
        <f>SUMIFS('MOVIMENTAÇÃO'!$E:$E,'MOVIMENTAÇÃO'!$C:$C,A860,'MOVIMENTAÇÃO'!$B:$B,"PERDA")</f>
        <v>0</v>
      </c>
      <c r="G860" s="51">
        <f t="shared" si="2"/>
        <v>0</v>
      </c>
      <c r="I860" s="34"/>
    </row>
    <row r="861" ht="22.5" customHeight="1">
      <c r="A861" s="35"/>
      <c r="B861" s="35"/>
      <c r="C861" s="35"/>
      <c r="D861" s="50"/>
      <c r="F861" s="51">
        <f>SUMIFS('MOVIMENTAÇÃO'!$E:$E,'MOVIMENTAÇÃO'!$C:$C,A861,'MOVIMENTAÇÃO'!$B:$B,"PERDA")</f>
        <v>0</v>
      </c>
      <c r="G861" s="51">
        <f t="shared" si="2"/>
        <v>0</v>
      </c>
      <c r="I861" s="34"/>
    </row>
    <row r="862" ht="22.5" customHeight="1">
      <c r="A862" s="35"/>
      <c r="B862" s="35"/>
      <c r="C862" s="35"/>
      <c r="D862" s="50"/>
      <c r="F862" s="51">
        <f>SUMIFS('MOVIMENTAÇÃO'!$E:$E,'MOVIMENTAÇÃO'!$C:$C,A862,'MOVIMENTAÇÃO'!$B:$B,"PERDA")</f>
        <v>0</v>
      </c>
      <c r="G862" s="51">
        <f t="shared" si="2"/>
        <v>0</v>
      </c>
      <c r="I862" s="34"/>
    </row>
    <row r="863" ht="22.5" customHeight="1">
      <c r="A863" s="35"/>
      <c r="B863" s="35"/>
      <c r="C863" s="35"/>
      <c r="D863" s="50"/>
      <c r="F863" s="51">
        <f>SUMIFS('MOVIMENTAÇÃO'!$E:$E,'MOVIMENTAÇÃO'!$C:$C,A863,'MOVIMENTAÇÃO'!$B:$B,"PERDA")</f>
        <v>0</v>
      </c>
      <c r="G863" s="51">
        <f t="shared" si="2"/>
        <v>0</v>
      </c>
      <c r="I863" s="34"/>
    </row>
    <row r="864" ht="22.5" customHeight="1">
      <c r="A864" s="35"/>
      <c r="B864" s="35"/>
      <c r="C864" s="35"/>
      <c r="D864" s="50"/>
      <c r="F864" s="51">
        <f>SUMIFS('MOVIMENTAÇÃO'!$E:$E,'MOVIMENTAÇÃO'!$C:$C,A864,'MOVIMENTAÇÃO'!$B:$B,"PERDA")</f>
        <v>0</v>
      </c>
      <c r="G864" s="51">
        <f t="shared" si="2"/>
        <v>0</v>
      </c>
      <c r="I864" s="34"/>
    </row>
    <row r="865" ht="22.5" customHeight="1">
      <c r="A865" s="35"/>
      <c r="B865" s="35"/>
      <c r="C865" s="35"/>
      <c r="D865" s="50"/>
      <c r="F865" s="51">
        <f>SUMIFS('MOVIMENTAÇÃO'!$E:$E,'MOVIMENTAÇÃO'!$C:$C,A865,'MOVIMENTAÇÃO'!$B:$B,"PERDA")</f>
        <v>0</v>
      </c>
      <c r="G865" s="51">
        <f t="shared" si="2"/>
        <v>0</v>
      </c>
      <c r="I865" s="34"/>
    </row>
    <row r="866" ht="22.5" customHeight="1">
      <c r="A866" s="35"/>
      <c r="B866" s="35"/>
      <c r="C866" s="35"/>
      <c r="D866" s="50"/>
      <c r="F866" s="51">
        <f>SUMIFS('MOVIMENTAÇÃO'!$E:$E,'MOVIMENTAÇÃO'!$C:$C,A866,'MOVIMENTAÇÃO'!$B:$B,"PERDA")</f>
        <v>0</v>
      </c>
      <c r="G866" s="51">
        <f t="shared" si="2"/>
        <v>0</v>
      </c>
      <c r="I866" s="34"/>
    </row>
    <row r="867" ht="22.5" customHeight="1">
      <c r="A867" s="35"/>
      <c r="B867" s="35"/>
      <c r="C867" s="35"/>
      <c r="D867" s="50"/>
      <c r="F867" s="51">
        <f>SUMIFS('MOVIMENTAÇÃO'!$E:$E,'MOVIMENTAÇÃO'!$C:$C,A867,'MOVIMENTAÇÃO'!$B:$B,"PERDA")</f>
        <v>0</v>
      </c>
      <c r="G867" s="51">
        <f t="shared" si="2"/>
        <v>0</v>
      </c>
      <c r="I867" s="34"/>
    </row>
    <row r="868" ht="22.5" customHeight="1">
      <c r="A868" s="35"/>
      <c r="B868" s="35"/>
      <c r="C868" s="35"/>
      <c r="D868" s="50"/>
      <c r="F868" s="51">
        <f>SUMIFS('MOVIMENTAÇÃO'!$E:$E,'MOVIMENTAÇÃO'!$C:$C,A868,'MOVIMENTAÇÃO'!$B:$B,"PERDA")</f>
        <v>0</v>
      </c>
      <c r="G868" s="51">
        <f t="shared" si="2"/>
        <v>0</v>
      </c>
      <c r="I868" s="34"/>
    </row>
    <row r="869" ht="22.5" customHeight="1">
      <c r="A869" s="35"/>
      <c r="B869" s="35"/>
      <c r="C869" s="35"/>
      <c r="D869" s="50"/>
      <c r="F869" s="51">
        <f>SUMIFS('MOVIMENTAÇÃO'!$E:$E,'MOVIMENTAÇÃO'!$C:$C,A869,'MOVIMENTAÇÃO'!$B:$B,"PERDA")</f>
        <v>0</v>
      </c>
      <c r="G869" s="51">
        <f t="shared" si="2"/>
        <v>0</v>
      </c>
      <c r="I869" s="34"/>
    </row>
    <row r="870" ht="22.5" customHeight="1">
      <c r="A870" s="35"/>
      <c r="B870" s="35"/>
      <c r="C870" s="35"/>
      <c r="D870" s="50"/>
      <c r="F870" s="51">
        <f>SUMIFS('MOVIMENTAÇÃO'!$E:$E,'MOVIMENTAÇÃO'!$C:$C,A870,'MOVIMENTAÇÃO'!$B:$B,"PERDA")</f>
        <v>0</v>
      </c>
      <c r="G870" s="51">
        <f t="shared" si="2"/>
        <v>0</v>
      </c>
      <c r="I870" s="34"/>
    </row>
    <row r="871" ht="22.5" customHeight="1">
      <c r="A871" s="35"/>
      <c r="B871" s="35"/>
      <c r="C871" s="35"/>
      <c r="D871" s="50"/>
      <c r="F871" s="51">
        <f>SUMIFS('MOVIMENTAÇÃO'!$E:$E,'MOVIMENTAÇÃO'!$C:$C,A871,'MOVIMENTAÇÃO'!$B:$B,"PERDA")</f>
        <v>0</v>
      </c>
      <c r="G871" s="51">
        <f t="shared" si="2"/>
        <v>0</v>
      </c>
      <c r="I871" s="34"/>
    </row>
    <row r="872" ht="22.5" customHeight="1">
      <c r="A872" s="35"/>
      <c r="B872" s="35"/>
      <c r="C872" s="35"/>
      <c r="D872" s="50"/>
      <c r="F872" s="51">
        <f>SUMIFS('MOVIMENTAÇÃO'!$E:$E,'MOVIMENTAÇÃO'!$C:$C,A872,'MOVIMENTAÇÃO'!$B:$B,"PERDA")</f>
        <v>0</v>
      </c>
      <c r="G872" s="51">
        <f t="shared" si="2"/>
        <v>0</v>
      </c>
      <c r="I872" s="34"/>
    </row>
    <row r="873" ht="22.5" customHeight="1">
      <c r="A873" s="35"/>
      <c r="B873" s="35"/>
      <c r="C873" s="35"/>
      <c r="D873" s="50"/>
      <c r="F873" s="51">
        <f>SUMIFS('MOVIMENTAÇÃO'!$E:$E,'MOVIMENTAÇÃO'!$C:$C,A873,'MOVIMENTAÇÃO'!$B:$B,"PERDA")</f>
        <v>0</v>
      </c>
      <c r="G873" s="51">
        <f t="shared" si="2"/>
        <v>0</v>
      </c>
      <c r="I873" s="34"/>
    </row>
    <row r="874" ht="22.5" customHeight="1">
      <c r="A874" s="35"/>
      <c r="B874" s="35"/>
      <c r="C874" s="35"/>
      <c r="D874" s="50"/>
      <c r="F874" s="51">
        <f>SUMIFS('MOVIMENTAÇÃO'!$E:$E,'MOVIMENTAÇÃO'!$C:$C,A874,'MOVIMENTAÇÃO'!$B:$B,"PERDA")</f>
        <v>0</v>
      </c>
      <c r="G874" s="51">
        <f t="shared" si="2"/>
        <v>0</v>
      </c>
      <c r="I874" s="34"/>
    </row>
    <row r="875" ht="22.5" customHeight="1">
      <c r="A875" s="35"/>
      <c r="B875" s="35"/>
      <c r="C875" s="35"/>
      <c r="D875" s="50"/>
      <c r="F875" s="51">
        <f>SUMIFS('MOVIMENTAÇÃO'!$E:$E,'MOVIMENTAÇÃO'!$C:$C,A875,'MOVIMENTAÇÃO'!$B:$B,"PERDA")</f>
        <v>0</v>
      </c>
      <c r="G875" s="51">
        <f t="shared" si="2"/>
        <v>0</v>
      </c>
      <c r="I875" s="34"/>
    </row>
    <row r="876" ht="22.5" customHeight="1">
      <c r="A876" s="35"/>
      <c r="B876" s="35"/>
      <c r="C876" s="35"/>
      <c r="D876" s="50"/>
      <c r="F876" s="51">
        <f>SUMIFS('MOVIMENTAÇÃO'!$E:$E,'MOVIMENTAÇÃO'!$C:$C,A876,'MOVIMENTAÇÃO'!$B:$B,"PERDA")</f>
        <v>0</v>
      </c>
      <c r="G876" s="51">
        <f t="shared" si="2"/>
        <v>0</v>
      </c>
      <c r="I876" s="34"/>
    </row>
    <row r="877" ht="22.5" customHeight="1">
      <c r="A877" s="35"/>
      <c r="B877" s="35"/>
      <c r="C877" s="35"/>
      <c r="D877" s="50"/>
      <c r="F877" s="51">
        <f>SUMIFS('MOVIMENTAÇÃO'!$E:$E,'MOVIMENTAÇÃO'!$C:$C,A877,'MOVIMENTAÇÃO'!$B:$B,"PERDA")</f>
        <v>0</v>
      </c>
      <c r="G877" s="51">
        <f t="shared" si="2"/>
        <v>0</v>
      </c>
      <c r="I877" s="34"/>
    </row>
    <row r="878" ht="22.5" customHeight="1">
      <c r="A878" s="35"/>
      <c r="B878" s="35"/>
      <c r="C878" s="35"/>
      <c r="D878" s="50"/>
      <c r="F878" s="51">
        <f>SUMIFS('MOVIMENTAÇÃO'!$E:$E,'MOVIMENTAÇÃO'!$C:$C,A878,'MOVIMENTAÇÃO'!$B:$B,"PERDA")</f>
        <v>0</v>
      </c>
      <c r="G878" s="51">
        <f t="shared" si="2"/>
        <v>0</v>
      </c>
      <c r="I878" s="34"/>
    </row>
    <row r="879" ht="22.5" customHeight="1">
      <c r="A879" s="35"/>
      <c r="B879" s="35"/>
      <c r="C879" s="35"/>
      <c r="D879" s="50"/>
      <c r="F879" s="51">
        <f>SUMIFS('MOVIMENTAÇÃO'!$E:$E,'MOVIMENTAÇÃO'!$C:$C,A879,'MOVIMENTAÇÃO'!$B:$B,"PERDA")</f>
        <v>0</v>
      </c>
      <c r="G879" s="51">
        <f t="shared" si="2"/>
        <v>0</v>
      </c>
      <c r="I879" s="34"/>
    </row>
    <row r="880" ht="22.5" customHeight="1">
      <c r="A880" s="35"/>
      <c r="B880" s="35"/>
      <c r="C880" s="35"/>
      <c r="D880" s="50"/>
      <c r="F880" s="51">
        <f>SUMIFS('MOVIMENTAÇÃO'!$E:$E,'MOVIMENTAÇÃO'!$C:$C,A880,'MOVIMENTAÇÃO'!$B:$B,"PERDA")</f>
        <v>0</v>
      </c>
      <c r="G880" s="51">
        <f t="shared" si="2"/>
        <v>0</v>
      </c>
      <c r="I880" s="34"/>
    </row>
    <row r="881" ht="22.5" customHeight="1">
      <c r="A881" s="35"/>
      <c r="B881" s="35"/>
      <c r="C881" s="35"/>
      <c r="D881" s="50"/>
      <c r="F881" s="51">
        <f>SUMIFS('MOVIMENTAÇÃO'!$E:$E,'MOVIMENTAÇÃO'!$C:$C,A881,'MOVIMENTAÇÃO'!$B:$B,"PERDA")</f>
        <v>0</v>
      </c>
      <c r="G881" s="51">
        <f t="shared" si="2"/>
        <v>0</v>
      </c>
      <c r="I881" s="34"/>
    </row>
    <row r="882" ht="22.5" customHeight="1">
      <c r="A882" s="35"/>
      <c r="B882" s="35"/>
      <c r="C882" s="35"/>
      <c r="D882" s="50"/>
      <c r="F882" s="51">
        <f>SUMIFS('MOVIMENTAÇÃO'!$E:$E,'MOVIMENTAÇÃO'!$C:$C,A882,'MOVIMENTAÇÃO'!$B:$B,"PERDA")</f>
        <v>0</v>
      </c>
      <c r="G882" s="51">
        <f t="shared" si="2"/>
        <v>0</v>
      </c>
      <c r="I882" s="34"/>
    </row>
    <row r="883" ht="22.5" customHeight="1">
      <c r="A883" s="35"/>
      <c r="B883" s="35"/>
      <c r="C883" s="35"/>
      <c r="D883" s="50"/>
      <c r="F883" s="51">
        <f>SUMIFS('MOVIMENTAÇÃO'!$E:$E,'MOVIMENTAÇÃO'!$C:$C,A883,'MOVIMENTAÇÃO'!$B:$B,"PERDA")</f>
        <v>0</v>
      </c>
      <c r="G883" s="51">
        <f t="shared" si="2"/>
        <v>0</v>
      </c>
      <c r="I883" s="34"/>
    </row>
    <row r="884" ht="22.5" customHeight="1">
      <c r="A884" s="35"/>
      <c r="B884" s="35"/>
      <c r="C884" s="35"/>
      <c r="D884" s="50"/>
      <c r="F884" s="51">
        <f>SUMIFS('MOVIMENTAÇÃO'!$E:$E,'MOVIMENTAÇÃO'!$C:$C,A884,'MOVIMENTAÇÃO'!$B:$B,"PERDA")</f>
        <v>0</v>
      </c>
      <c r="G884" s="51">
        <f t="shared" si="2"/>
        <v>0</v>
      </c>
      <c r="I884" s="34"/>
    </row>
    <row r="885" ht="22.5" customHeight="1">
      <c r="A885" s="35"/>
      <c r="B885" s="35"/>
      <c r="C885" s="35"/>
      <c r="D885" s="50"/>
      <c r="F885" s="51">
        <f>SUMIFS('MOVIMENTAÇÃO'!$E:$E,'MOVIMENTAÇÃO'!$C:$C,A885,'MOVIMENTAÇÃO'!$B:$B,"PERDA")</f>
        <v>0</v>
      </c>
      <c r="G885" s="51">
        <f t="shared" si="2"/>
        <v>0</v>
      </c>
      <c r="I885" s="34"/>
    </row>
    <row r="886" ht="22.5" customHeight="1">
      <c r="A886" s="35"/>
      <c r="B886" s="35"/>
      <c r="C886" s="35"/>
      <c r="D886" s="50"/>
      <c r="F886" s="51">
        <f>SUMIFS('MOVIMENTAÇÃO'!$E:$E,'MOVIMENTAÇÃO'!$C:$C,A886,'MOVIMENTAÇÃO'!$B:$B,"PERDA")</f>
        <v>0</v>
      </c>
      <c r="G886" s="51">
        <f t="shared" si="2"/>
        <v>0</v>
      </c>
      <c r="I886" s="34"/>
    </row>
    <row r="887" ht="22.5" customHeight="1">
      <c r="A887" s="35"/>
      <c r="B887" s="35"/>
      <c r="C887" s="35"/>
      <c r="D887" s="50"/>
      <c r="F887" s="51">
        <f>SUMIFS('MOVIMENTAÇÃO'!$E:$E,'MOVIMENTAÇÃO'!$C:$C,A887,'MOVIMENTAÇÃO'!$B:$B,"PERDA")</f>
        <v>0</v>
      </c>
      <c r="G887" s="51">
        <f t="shared" si="2"/>
        <v>0</v>
      </c>
      <c r="I887" s="34"/>
    </row>
    <row r="888" ht="22.5" customHeight="1">
      <c r="A888" s="35"/>
      <c r="B888" s="35"/>
      <c r="C888" s="35"/>
      <c r="D888" s="50"/>
      <c r="F888" s="51">
        <f>SUMIFS('MOVIMENTAÇÃO'!$E:$E,'MOVIMENTAÇÃO'!$C:$C,A888,'MOVIMENTAÇÃO'!$B:$B,"PERDA")</f>
        <v>0</v>
      </c>
      <c r="G888" s="51">
        <f t="shared" si="2"/>
        <v>0</v>
      </c>
      <c r="I888" s="34"/>
    </row>
    <row r="889" ht="22.5" customHeight="1">
      <c r="A889" s="35"/>
      <c r="B889" s="35"/>
      <c r="C889" s="35"/>
      <c r="D889" s="50"/>
      <c r="F889" s="51">
        <f>SUMIFS('MOVIMENTAÇÃO'!$E:$E,'MOVIMENTAÇÃO'!$C:$C,A889,'MOVIMENTAÇÃO'!$B:$B,"PERDA")</f>
        <v>0</v>
      </c>
      <c r="G889" s="51">
        <f t="shared" si="2"/>
        <v>0</v>
      </c>
      <c r="I889" s="34"/>
    </row>
    <row r="890" ht="22.5" customHeight="1">
      <c r="A890" s="35"/>
      <c r="B890" s="35"/>
      <c r="C890" s="35"/>
      <c r="D890" s="50"/>
      <c r="F890" s="51">
        <f>SUMIFS('MOVIMENTAÇÃO'!$E:$E,'MOVIMENTAÇÃO'!$C:$C,A890,'MOVIMENTAÇÃO'!$B:$B,"PERDA")</f>
        <v>0</v>
      </c>
      <c r="G890" s="51">
        <f t="shared" si="2"/>
        <v>0</v>
      </c>
      <c r="I890" s="34"/>
    </row>
    <row r="891" ht="22.5" customHeight="1">
      <c r="A891" s="35"/>
      <c r="B891" s="35"/>
      <c r="C891" s="35"/>
      <c r="D891" s="50"/>
      <c r="F891" s="51">
        <f>SUMIFS('MOVIMENTAÇÃO'!$E:$E,'MOVIMENTAÇÃO'!$C:$C,A891,'MOVIMENTAÇÃO'!$B:$B,"PERDA")</f>
        <v>0</v>
      </c>
      <c r="G891" s="51">
        <f t="shared" si="2"/>
        <v>0</v>
      </c>
      <c r="I891" s="34"/>
    </row>
    <row r="892" ht="22.5" customHeight="1">
      <c r="A892" s="35"/>
      <c r="B892" s="35"/>
      <c r="C892" s="35"/>
      <c r="D892" s="50"/>
      <c r="F892" s="51">
        <f>SUMIFS('MOVIMENTAÇÃO'!$E:$E,'MOVIMENTAÇÃO'!$C:$C,A892,'MOVIMENTAÇÃO'!$B:$B,"PERDA")</f>
        <v>0</v>
      </c>
      <c r="G892" s="51">
        <f t="shared" si="2"/>
        <v>0</v>
      </c>
      <c r="I892" s="34"/>
    </row>
    <row r="893" ht="22.5" customHeight="1">
      <c r="A893" s="35"/>
      <c r="B893" s="35"/>
      <c r="C893" s="35"/>
      <c r="D893" s="50"/>
      <c r="F893" s="51">
        <f>SUMIFS('MOVIMENTAÇÃO'!$E:$E,'MOVIMENTAÇÃO'!$C:$C,A893,'MOVIMENTAÇÃO'!$B:$B,"PERDA")</f>
        <v>0</v>
      </c>
      <c r="G893" s="51">
        <f t="shared" si="2"/>
        <v>0</v>
      </c>
      <c r="I893" s="34"/>
    </row>
    <row r="894" ht="22.5" customHeight="1">
      <c r="A894" s="35"/>
      <c r="B894" s="35"/>
      <c r="C894" s="35"/>
      <c r="D894" s="50"/>
      <c r="F894" s="51">
        <f>SUMIFS('MOVIMENTAÇÃO'!$E:$E,'MOVIMENTAÇÃO'!$C:$C,A894,'MOVIMENTAÇÃO'!$B:$B,"PERDA")</f>
        <v>0</v>
      </c>
      <c r="G894" s="51">
        <f t="shared" si="2"/>
        <v>0</v>
      </c>
      <c r="I894" s="34"/>
    </row>
    <row r="895" ht="22.5" customHeight="1">
      <c r="A895" s="35"/>
      <c r="B895" s="35"/>
      <c r="C895" s="35"/>
      <c r="D895" s="50"/>
      <c r="F895" s="51">
        <f>SUMIFS('MOVIMENTAÇÃO'!$E:$E,'MOVIMENTAÇÃO'!$C:$C,A895,'MOVIMENTAÇÃO'!$B:$B,"PERDA")</f>
        <v>0</v>
      </c>
      <c r="G895" s="51">
        <f t="shared" si="2"/>
        <v>0</v>
      </c>
      <c r="I895" s="34"/>
    </row>
    <row r="896" ht="22.5" customHeight="1">
      <c r="A896" s="35"/>
      <c r="B896" s="35"/>
      <c r="C896" s="35"/>
      <c r="D896" s="50"/>
      <c r="F896" s="51">
        <f>SUMIFS('MOVIMENTAÇÃO'!$E:$E,'MOVIMENTAÇÃO'!$C:$C,A896,'MOVIMENTAÇÃO'!$B:$B,"PERDA")</f>
        <v>0</v>
      </c>
      <c r="G896" s="51">
        <f t="shared" si="2"/>
        <v>0</v>
      </c>
      <c r="I896" s="34"/>
    </row>
    <row r="897" ht="22.5" customHeight="1">
      <c r="A897" s="35"/>
      <c r="B897" s="35"/>
      <c r="C897" s="35"/>
      <c r="D897" s="50"/>
      <c r="F897" s="51">
        <f>SUMIFS('MOVIMENTAÇÃO'!$E:$E,'MOVIMENTAÇÃO'!$C:$C,A897,'MOVIMENTAÇÃO'!$B:$B,"PERDA")</f>
        <v>0</v>
      </c>
      <c r="G897" s="51">
        <f t="shared" si="2"/>
        <v>0</v>
      </c>
      <c r="I897" s="34"/>
    </row>
    <row r="898" ht="22.5" customHeight="1">
      <c r="A898" s="35"/>
      <c r="B898" s="35"/>
      <c r="C898" s="35"/>
      <c r="D898" s="50"/>
      <c r="F898" s="51">
        <f>SUMIFS('MOVIMENTAÇÃO'!$E:$E,'MOVIMENTAÇÃO'!$C:$C,A898,'MOVIMENTAÇÃO'!$B:$B,"PERDA")</f>
        <v>0</v>
      </c>
      <c r="G898" s="51">
        <f t="shared" si="2"/>
        <v>0</v>
      </c>
      <c r="I898" s="34"/>
    </row>
    <row r="899" ht="22.5" customHeight="1">
      <c r="A899" s="35"/>
      <c r="B899" s="35"/>
      <c r="C899" s="35"/>
      <c r="D899" s="50"/>
      <c r="F899" s="51">
        <f>SUMIFS('MOVIMENTAÇÃO'!$E:$E,'MOVIMENTAÇÃO'!$C:$C,A899,'MOVIMENTAÇÃO'!$B:$B,"PERDA")</f>
        <v>0</v>
      </c>
      <c r="G899" s="51">
        <f t="shared" si="2"/>
        <v>0</v>
      </c>
      <c r="I899" s="34"/>
    </row>
    <row r="900" ht="22.5" customHeight="1">
      <c r="A900" s="35"/>
      <c r="B900" s="35"/>
      <c r="C900" s="35"/>
      <c r="D900" s="50"/>
      <c r="F900" s="51">
        <f>SUMIFS('MOVIMENTAÇÃO'!$E:$E,'MOVIMENTAÇÃO'!$C:$C,A900,'MOVIMENTAÇÃO'!$B:$B,"PERDA")</f>
        <v>0</v>
      </c>
      <c r="G900" s="51">
        <f t="shared" si="2"/>
        <v>0</v>
      </c>
      <c r="I900" s="34"/>
    </row>
    <row r="901" ht="22.5" customHeight="1">
      <c r="A901" s="35"/>
      <c r="B901" s="35"/>
      <c r="C901" s="35"/>
      <c r="D901" s="50"/>
      <c r="F901" s="51">
        <f>SUMIFS('MOVIMENTAÇÃO'!$E:$E,'MOVIMENTAÇÃO'!$C:$C,A901,'MOVIMENTAÇÃO'!$B:$B,"PERDA")</f>
        <v>0</v>
      </c>
      <c r="G901" s="51">
        <f t="shared" si="2"/>
        <v>0</v>
      </c>
      <c r="I901" s="34"/>
    </row>
    <row r="902" ht="22.5" customHeight="1">
      <c r="A902" s="35"/>
      <c r="B902" s="35"/>
      <c r="C902" s="35"/>
      <c r="D902" s="50"/>
      <c r="F902" s="51">
        <f>SUMIFS('MOVIMENTAÇÃO'!$E:$E,'MOVIMENTAÇÃO'!$C:$C,A902,'MOVIMENTAÇÃO'!$B:$B,"PERDA")</f>
        <v>0</v>
      </c>
      <c r="G902" s="51">
        <f t="shared" si="2"/>
        <v>0</v>
      </c>
      <c r="I902" s="34"/>
    </row>
    <row r="903" ht="22.5" customHeight="1">
      <c r="A903" s="35"/>
      <c r="B903" s="35"/>
      <c r="C903" s="35"/>
      <c r="D903" s="50"/>
      <c r="F903" s="51">
        <f>SUMIFS('MOVIMENTAÇÃO'!$E:$E,'MOVIMENTAÇÃO'!$C:$C,A903,'MOVIMENTAÇÃO'!$B:$B,"PERDA")</f>
        <v>0</v>
      </c>
      <c r="G903" s="51">
        <f t="shared" si="2"/>
        <v>0</v>
      </c>
      <c r="I903" s="34"/>
    </row>
    <row r="904" ht="22.5" customHeight="1">
      <c r="A904" s="35"/>
      <c r="B904" s="35"/>
      <c r="C904" s="35"/>
      <c r="D904" s="50"/>
      <c r="F904" s="51">
        <f>SUMIFS('MOVIMENTAÇÃO'!$E:$E,'MOVIMENTAÇÃO'!$C:$C,A904,'MOVIMENTAÇÃO'!$B:$B,"PERDA")</f>
        <v>0</v>
      </c>
      <c r="G904" s="51">
        <f t="shared" si="2"/>
        <v>0</v>
      </c>
      <c r="I904" s="34"/>
    </row>
    <row r="905" ht="22.5" customHeight="1">
      <c r="A905" s="35"/>
      <c r="B905" s="35"/>
      <c r="C905" s="35"/>
      <c r="D905" s="50"/>
      <c r="F905" s="51">
        <f>SUMIFS('MOVIMENTAÇÃO'!$E:$E,'MOVIMENTAÇÃO'!$C:$C,A905,'MOVIMENTAÇÃO'!$B:$B,"PERDA")</f>
        <v>0</v>
      </c>
      <c r="G905" s="51">
        <f t="shared" si="2"/>
        <v>0</v>
      </c>
      <c r="I905" s="34"/>
    </row>
    <row r="906" ht="22.5" customHeight="1">
      <c r="A906" s="35"/>
      <c r="B906" s="35"/>
      <c r="C906" s="35"/>
      <c r="D906" s="50"/>
      <c r="F906" s="51">
        <f>SUMIFS('MOVIMENTAÇÃO'!$E:$E,'MOVIMENTAÇÃO'!$C:$C,A906,'MOVIMENTAÇÃO'!$B:$B,"PERDA")</f>
        <v>0</v>
      </c>
      <c r="G906" s="51">
        <f t="shared" si="2"/>
        <v>0</v>
      </c>
      <c r="I906" s="34"/>
    </row>
    <row r="907" ht="22.5" customHeight="1">
      <c r="A907" s="35"/>
      <c r="B907" s="35"/>
      <c r="C907" s="35"/>
      <c r="D907" s="50"/>
      <c r="F907" s="51">
        <f>SUMIFS('MOVIMENTAÇÃO'!$E:$E,'MOVIMENTAÇÃO'!$C:$C,A907,'MOVIMENTAÇÃO'!$B:$B,"PERDA")</f>
        <v>0</v>
      </c>
      <c r="G907" s="51">
        <f t="shared" si="2"/>
        <v>0</v>
      </c>
      <c r="I907" s="34"/>
    </row>
    <row r="908" ht="22.5" customHeight="1">
      <c r="A908" s="35"/>
      <c r="B908" s="35"/>
      <c r="C908" s="35"/>
      <c r="D908" s="50"/>
      <c r="F908" s="51">
        <f>SUMIFS('MOVIMENTAÇÃO'!$E:$E,'MOVIMENTAÇÃO'!$C:$C,A908,'MOVIMENTAÇÃO'!$B:$B,"PERDA")</f>
        <v>0</v>
      </c>
      <c r="G908" s="51">
        <f t="shared" si="2"/>
        <v>0</v>
      </c>
      <c r="I908" s="34"/>
    </row>
    <row r="909" ht="22.5" customHeight="1">
      <c r="A909" s="35"/>
      <c r="B909" s="35"/>
      <c r="C909" s="35"/>
      <c r="D909" s="50"/>
      <c r="F909" s="51">
        <f>SUMIFS('MOVIMENTAÇÃO'!$E:$E,'MOVIMENTAÇÃO'!$C:$C,A909,'MOVIMENTAÇÃO'!$B:$B,"PERDA")</f>
        <v>0</v>
      </c>
      <c r="G909" s="51">
        <f t="shared" si="2"/>
        <v>0</v>
      </c>
      <c r="I909" s="34"/>
    </row>
    <row r="910" ht="22.5" customHeight="1">
      <c r="A910" s="35"/>
      <c r="B910" s="35"/>
      <c r="C910" s="35"/>
      <c r="D910" s="50"/>
      <c r="F910" s="51">
        <f>SUMIFS('MOVIMENTAÇÃO'!$E:$E,'MOVIMENTAÇÃO'!$C:$C,A910,'MOVIMENTAÇÃO'!$B:$B,"PERDA")</f>
        <v>0</v>
      </c>
      <c r="G910" s="51">
        <f t="shared" si="2"/>
        <v>0</v>
      </c>
      <c r="I910" s="34"/>
    </row>
    <row r="911" ht="22.5" customHeight="1">
      <c r="A911" s="35"/>
      <c r="B911" s="35"/>
      <c r="C911" s="35"/>
      <c r="D911" s="50"/>
      <c r="F911" s="51">
        <f>SUMIFS('MOVIMENTAÇÃO'!$E:$E,'MOVIMENTAÇÃO'!$C:$C,A911,'MOVIMENTAÇÃO'!$B:$B,"PERDA")</f>
        <v>0</v>
      </c>
      <c r="G911" s="51">
        <f t="shared" si="2"/>
        <v>0</v>
      </c>
      <c r="I911" s="34"/>
    </row>
    <row r="912" ht="22.5" customHeight="1">
      <c r="A912" s="35"/>
      <c r="B912" s="35"/>
      <c r="C912" s="35"/>
      <c r="D912" s="50"/>
      <c r="F912" s="51">
        <f>SUMIFS('MOVIMENTAÇÃO'!$E:$E,'MOVIMENTAÇÃO'!$C:$C,A912,'MOVIMENTAÇÃO'!$B:$B,"PERDA")</f>
        <v>0</v>
      </c>
      <c r="G912" s="51">
        <f t="shared" si="2"/>
        <v>0</v>
      </c>
      <c r="I912" s="34"/>
    </row>
    <row r="913" ht="22.5" customHeight="1">
      <c r="A913" s="35"/>
      <c r="B913" s="35"/>
      <c r="C913" s="35"/>
      <c r="D913" s="50"/>
      <c r="F913" s="51">
        <f>SUMIFS('MOVIMENTAÇÃO'!$E:$E,'MOVIMENTAÇÃO'!$C:$C,A913,'MOVIMENTAÇÃO'!$B:$B,"PERDA")</f>
        <v>0</v>
      </c>
      <c r="G913" s="51">
        <f t="shared" si="2"/>
        <v>0</v>
      </c>
      <c r="I913" s="34"/>
    </row>
    <row r="914" ht="22.5" customHeight="1">
      <c r="A914" s="35"/>
      <c r="B914" s="35"/>
      <c r="C914" s="35"/>
      <c r="D914" s="50"/>
      <c r="F914" s="51">
        <f>SUMIFS('MOVIMENTAÇÃO'!$E:$E,'MOVIMENTAÇÃO'!$C:$C,A914,'MOVIMENTAÇÃO'!$B:$B,"PERDA")</f>
        <v>0</v>
      </c>
      <c r="G914" s="51">
        <f t="shared" si="2"/>
        <v>0</v>
      </c>
      <c r="I914" s="34"/>
    </row>
    <row r="915" ht="22.5" customHeight="1">
      <c r="A915" s="35"/>
      <c r="B915" s="35"/>
      <c r="C915" s="35"/>
      <c r="D915" s="50"/>
      <c r="F915" s="51">
        <f>SUMIFS('MOVIMENTAÇÃO'!$E:$E,'MOVIMENTAÇÃO'!$C:$C,A915,'MOVIMENTAÇÃO'!$B:$B,"PERDA")</f>
        <v>0</v>
      </c>
      <c r="G915" s="51">
        <f t="shared" si="2"/>
        <v>0</v>
      </c>
      <c r="I915" s="34"/>
    </row>
    <row r="916" ht="22.5" customHeight="1">
      <c r="A916" s="35"/>
      <c r="B916" s="35"/>
      <c r="C916" s="35"/>
      <c r="D916" s="50"/>
      <c r="F916" s="51">
        <f>SUMIFS('MOVIMENTAÇÃO'!$E:$E,'MOVIMENTAÇÃO'!$C:$C,A916,'MOVIMENTAÇÃO'!$B:$B,"PERDA")</f>
        <v>0</v>
      </c>
      <c r="G916" s="51">
        <f t="shared" si="2"/>
        <v>0</v>
      </c>
      <c r="I916" s="34"/>
    </row>
    <row r="917" ht="22.5" customHeight="1">
      <c r="A917" s="35"/>
      <c r="B917" s="35"/>
      <c r="C917" s="35"/>
      <c r="D917" s="50"/>
      <c r="F917" s="51">
        <f>SUMIFS('MOVIMENTAÇÃO'!$E:$E,'MOVIMENTAÇÃO'!$C:$C,A917,'MOVIMENTAÇÃO'!$B:$B,"PERDA")</f>
        <v>0</v>
      </c>
      <c r="G917" s="51">
        <f t="shared" si="2"/>
        <v>0</v>
      </c>
      <c r="I917" s="34"/>
    </row>
    <row r="918" ht="22.5" customHeight="1">
      <c r="A918" s="35"/>
      <c r="B918" s="35"/>
      <c r="C918" s="35"/>
      <c r="D918" s="50"/>
      <c r="F918" s="51">
        <f>SUMIFS('MOVIMENTAÇÃO'!$E:$E,'MOVIMENTAÇÃO'!$C:$C,A918,'MOVIMENTAÇÃO'!$B:$B,"PERDA")</f>
        <v>0</v>
      </c>
      <c r="G918" s="51">
        <f t="shared" si="2"/>
        <v>0</v>
      </c>
      <c r="I918" s="34"/>
    </row>
    <row r="919" ht="22.5" customHeight="1">
      <c r="A919" s="35"/>
      <c r="B919" s="35"/>
      <c r="C919" s="35"/>
      <c r="D919" s="50"/>
      <c r="F919" s="51">
        <f>SUMIFS('MOVIMENTAÇÃO'!$E:$E,'MOVIMENTAÇÃO'!$C:$C,A919,'MOVIMENTAÇÃO'!$B:$B,"PERDA")</f>
        <v>0</v>
      </c>
      <c r="G919" s="51">
        <f t="shared" si="2"/>
        <v>0</v>
      </c>
      <c r="I919" s="34"/>
    </row>
    <row r="920" ht="22.5" customHeight="1">
      <c r="A920" s="35"/>
      <c r="B920" s="35"/>
      <c r="C920" s="35"/>
      <c r="D920" s="50"/>
      <c r="F920" s="51">
        <f>SUMIFS('MOVIMENTAÇÃO'!$E:$E,'MOVIMENTAÇÃO'!$C:$C,A920,'MOVIMENTAÇÃO'!$B:$B,"PERDA")</f>
        <v>0</v>
      </c>
      <c r="G920" s="51">
        <f t="shared" si="2"/>
        <v>0</v>
      </c>
      <c r="I920" s="34"/>
    </row>
    <row r="921" ht="22.5" customHeight="1">
      <c r="A921" s="35"/>
      <c r="B921" s="35"/>
      <c r="C921" s="35"/>
      <c r="D921" s="50"/>
      <c r="F921" s="51">
        <f>SUMIFS('MOVIMENTAÇÃO'!$E:$E,'MOVIMENTAÇÃO'!$C:$C,A921,'MOVIMENTAÇÃO'!$B:$B,"PERDA")</f>
        <v>0</v>
      </c>
      <c r="G921" s="51">
        <f t="shared" si="2"/>
        <v>0</v>
      </c>
      <c r="I921" s="34"/>
    </row>
    <row r="922" ht="22.5" customHeight="1">
      <c r="A922" s="35"/>
      <c r="B922" s="35"/>
      <c r="C922" s="35"/>
      <c r="D922" s="50"/>
      <c r="F922" s="51">
        <f>SUMIFS('MOVIMENTAÇÃO'!$E:$E,'MOVIMENTAÇÃO'!$C:$C,A922,'MOVIMENTAÇÃO'!$B:$B,"PERDA")</f>
        <v>0</v>
      </c>
      <c r="G922" s="51">
        <f t="shared" si="2"/>
        <v>0</v>
      </c>
      <c r="I922" s="34"/>
    </row>
    <row r="923" ht="22.5" customHeight="1">
      <c r="A923" s="35"/>
      <c r="B923" s="35"/>
      <c r="C923" s="35"/>
      <c r="D923" s="50"/>
      <c r="F923" s="51">
        <f>SUMIFS('MOVIMENTAÇÃO'!$E:$E,'MOVIMENTAÇÃO'!$C:$C,A923,'MOVIMENTAÇÃO'!$B:$B,"PERDA")</f>
        <v>0</v>
      </c>
      <c r="G923" s="51">
        <f t="shared" si="2"/>
        <v>0</v>
      </c>
      <c r="I923" s="34"/>
    </row>
    <row r="924" ht="22.5" customHeight="1">
      <c r="A924" s="35"/>
      <c r="B924" s="35"/>
      <c r="C924" s="35"/>
      <c r="D924" s="50"/>
      <c r="F924" s="51">
        <f>SUMIFS('MOVIMENTAÇÃO'!$E:$E,'MOVIMENTAÇÃO'!$C:$C,A924,'MOVIMENTAÇÃO'!$B:$B,"PERDA")</f>
        <v>0</v>
      </c>
      <c r="G924" s="51">
        <f t="shared" si="2"/>
        <v>0</v>
      </c>
      <c r="I924" s="34"/>
    </row>
    <row r="925" ht="22.5" customHeight="1">
      <c r="A925" s="35"/>
      <c r="B925" s="35"/>
      <c r="C925" s="35"/>
      <c r="D925" s="50"/>
      <c r="F925" s="51">
        <f>SUMIFS('MOVIMENTAÇÃO'!$E:$E,'MOVIMENTAÇÃO'!$C:$C,A925,'MOVIMENTAÇÃO'!$B:$B,"PERDA")</f>
        <v>0</v>
      </c>
      <c r="G925" s="51">
        <f t="shared" si="2"/>
        <v>0</v>
      </c>
      <c r="I925" s="34"/>
    </row>
    <row r="926" ht="22.5" customHeight="1">
      <c r="A926" s="35"/>
      <c r="B926" s="35"/>
      <c r="C926" s="35"/>
      <c r="D926" s="50"/>
      <c r="F926" s="51">
        <f>SUMIFS('MOVIMENTAÇÃO'!$E:$E,'MOVIMENTAÇÃO'!$C:$C,A926,'MOVIMENTAÇÃO'!$B:$B,"PERDA")</f>
        <v>0</v>
      </c>
      <c r="G926" s="51">
        <f t="shared" si="2"/>
        <v>0</v>
      </c>
      <c r="I926" s="34"/>
    </row>
    <row r="927" ht="22.5" customHeight="1">
      <c r="A927" s="35"/>
      <c r="B927" s="35"/>
      <c r="C927" s="35"/>
      <c r="D927" s="50"/>
      <c r="F927" s="51">
        <f>SUMIFS('MOVIMENTAÇÃO'!$E:$E,'MOVIMENTAÇÃO'!$C:$C,A927,'MOVIMENTAÇÃO'!$B:$B,"PERDA")</f>
        <v>0</v>
      </c>
      <c r="G927" s="51">
        <f t="shared" si="2"/>
        <v>0</v>
      </c>
      <c r="I927" s="34"/>
    </row>
    <row r="928" ht="22.5" customHeight="1">
      <c r="A928" s="35"/>
      <c r="B928" s="35"/>
      <c r="C928" s="35"/>
      <c r="D928" s="50"/>
      <c r="F928" s="51">
        <f>SUMIFS('MOVIMENTAÇÃO'!$E:$E,'MOVIMENTAÇÃO'!$C:$C,A928,'MOVIMENTAÇÃO'!$B:$B,"PERDA")</f>
        <v>0</v>
      </c>
      <c r="G928" s="51">
        <f t="shared" si="2"/>
        <v>0</v>
      </c>
      <c r="I928" s="34"/>
    </row>
    <row r="929" ht="22.5" customHeight="1">
      <c r="A929" s="35"/>
      <c r="B929" s="35"/>
      <c r="C929" s="35"/>
      <c r="D929" s="50"/>
      <c r="F929" s="51">
        <f>SUMIFS('MOVIMENTAÇÃO'!$E:$E,'MOVIMENTAÇÃO'!$C:$C,A929,'MOVIMENTAÇÃO'!$B:$B,"PERDA")</f>
        <v>0</v>
      </c>
      <c r="G929" s="51">
        <f t="shared" si="2"/>
        <v>0</v>
      </c>
      <c r="I929" s="34"/>
    </row>
    <row r="930" ht="22.5" customHeight="1">
      <c r="A930" s="35"/>
      <c r="B930" s="35"/>
      <c r="C930" s="35"/>
      <c r="D930" s="50"/>
      <c r="F930" s="51">
        <f>SUMIFS('MOVIMENTAÇÃO'!$E:$E,'MOVIMENTAÇÃO'!$C:$C,A930,'MOVIMENTAÇÃO'!$B:$B,"PERDA")</f>
        <v>0</v>
      </c>
      <c r="G930" s="51">
        <f t="shared" si="2"/>
        <v>0</v>
      </c>
      <c r="I930" s="34"/>
    </row>
    <row r="931" ht="22.5" customHeight="1">
      <c r="A931" s="35"/>
      <c r="B931" s="35"/>
      <c r="C931" s="35"/>
      <c r="D931" s="50"/>
      <c r="F931" s="51">
        <f>SUMIFS('MOVIMENTAÇÃO'!$E:$E,'MOVIMENTAÇÃO'!$C:$C,A931,'MOVIMENTAÇÃO'!$B:$B,"PERDA")</f>
        <v>0</v>
      </c>
      <c r="G931" s="51">
        <f t="shared" si="2"/>
        <v>0</v>
      </c>
      <c r="I931" s="34"/>
    </row>
    <row r="932" ht="22.5" customHeight="1">
      <c r="A932" s="35"/>
      <c r="B932" s="35"/>
      <c r="C932" s="35"/>
      <c r="D932" s="50"/>
      <c r="F932" s="51">
        <f>SUMIFS('MOVIMENTAÇÃO'!$E:$E,'MOVIMENTAÇÃO'!$C:$C,A932,'MOVIMENTAÇÃO'!$B:$B,"PERDA")</f>
        <v>0</v>
      </c>
      <c r="G932" s="51">
        <f t="shared" si="2"/>
        <v>0</v>
      </c>
      <c r="I932" s="34"/>
    </row>
    <row r="933" ht="22.5" customHeight="1">
      <c r="A933" s="35"/>
      <c r="B933" s="35"/>
      <c r="C933" s="35"/>
      <c r="D933" s="50"/>
      <c r="F933" s="51">
        <f>SUMIFS('MOVIMENTAÇÃO'!$E:$E,'MOVIMENTAÇÃO'!$C:$C,A933,'MOVIMENTAÇÃO'!$B:$B,"PERDA")</f>
        <v>0</v>
      </c>
      <c r="G933" s="51">
        <f t="shared" si="2"/>
        <v>0</v>
      </c>
      <c r="I933" s="34"/>
    </row>
    <row r="934" ht="22.5" customHeight="1">
      <c r="A934" s="35"/>
      <c r="B934" s="35"/>
      <c r="C934" s="35"/>
      <c r="D934" s="50"/>
      <c r="F934" s="51">
        <f>SUMIFS('MOVIMENTAÇÃO'!$E:$E,'MOVIMENTAÇÃO'!$C:$C,A934,'MOVIMENTAÇÃO'!$B:$B,"PERDA")</f>
        <v>0</v>
      </c>
      <c r="G934" s="51">
        <f t="shared" si="2"/>
        <v>0</v>
      </c>
      <c r="I934" s="34"/>
    </row>
    <row r="935" ht="22.5" customHeight="1">
      <c r="A935" s="35"/>
      <c r="B935" s="35"/>
      <c r="C935" s="35"/>
      <c r="D935" s="50"/>
      <c r="F935" s="51">
        <f>SUMIFS('MOVIMENTAÇÃO'!$E:$E,'MOVIMENTAÇÃO'!$C:$C,A935,'MOVIMENTAÇÃO'!$B:$B,"PERDA")</f>
        <v>0</v>
      </c>
      <c r="G935" s="51">
        <f t="shared" si="2"/>
        <v>0</v>
      </c>
      <c r="I935" s="34"/>
    </row>
    <row r="936" ht="22.5" customHeight="1">
      <c r="A936" s="35"/>
      <c r="B936" s="35"/>
      <c r="C936" s="35"/>
      <c r="D936" s="50"/>
      <c r="F936" s="51">
        <f>SUMIFS('MOVIMENTAÇÃO'!$E:$E,'MOVIMENTAÇÃO'!$C:$C,A936,'MOVIMENTAÇÃO'!$B:$B,"PERDA")</f>
        <v>0</v>
      </c>
      <c r="G936" s="51">
        <f t="shared" si="2"/>
        <v>0</v>
      </c>
      <c r="I936" s="34"/>
    </row>
    <row r="937" ht="22.5" customHeight="1">
      <c r="A937" s="35"/>
      <c r="B937" s="35"/>
      <c r="C937" s="35"/>
      <c r="D937" s="50"/>
      <c r="F937" s="51">
        <f>SUMIFS('MOVIMENTAÇÃO'!$E:$E,'MOVIMENTAÇÃO'!$C:$C,A937,'MOVIMENTAÇÃO'!$B:$B,"PERDA")</f>
        <v>0</v>
      </c>
      <c r="G937" s="51">
        <f t="shared" si="2"/>
        <v>0</v>
      </c>
      <c r="I937" s="34"/>
    </row>
    <row r="938" ht="22.5" customHeight="1">
      <c r="A938" s="35"/>
      <c r="B938" s="35"/>
      <c r="C938" s="35"/>
      <c r="D938" s="50"/>
      <c r="F938" s="51">
        <f>SUMIFS('MOVIMENTAÇÃO'!$E:$E,'MOVIMENTAÇÃO'!$C:$C,A938,'MOVIMENTAÇÃO'!$B:$B,"PERDA")</f>
        <v>0</v>
      </c>
      <c r="G938" s="51">
        <f t="shared" si="2"/>
        <v>0</v>
      </c>
      <c r="I938" s="34"/>
    </row>
    <row r="939" ht="22.5" customHeight="1">
      <c r="A939" s="35"/>
      <c r="B939" s="35"/>
      <c r="C939" s="35"/>
      <c r="D939" s="50"/>
      <c r="F939" s="51">
        <f>SUMIFS('MOVIMENTAÇÃO'!$E:$E,'MOVIMENTAÇÃO'!$C:$C,A939,'MOVIMENTAÇÃO'!$B:$B,"PERDA")</f>
        <v>0</v>
      </c>
      <c r="G939" s="51">
        <f t="shared" si="2"/>
        <v>0</v>
      </c>
      <c r="I939" s="34"/>
    </row>
    <row r="940" ht="22.5" customHeight="1">
      <c r="A940" s="35"/>
      <c r="B940" s="35"/>
      <c r="C940" s="35"/>
      <c r="D940" s="50"/>
      <c r="F940" s="51">
        <f>SUMIFS('MOVIMENTAÇÃO'!$E:$E,'MOVIMENTAÇÃO'!$C:$C,A940,'MOVIMENTAÇÃO'!$B:$B,"PERDA")</f>
        <v>0</v>
      </c>
      <c r="G940" s="51">
        <f t="shared" si="2"/>
        <v>0</v>
      </c>
      <c r="I940" s="34"/>
    </row>
    <row r="941" ht="22.5" customHeight="1">
      <c r="A941" s="35"/>
      <c r="B941" s="35"/>
      <c r="C941" s="35"/>
      <c r="D941" s="50"/>
      <c r="F941" s="51">
        <f>SUMIFS('MOVIMENTAÇÃO'!$E:$E,'MOVIMENTAÇÃO'!$C:$C,A941,'MOVIMENTAÇÃO'!$B:$B,"PERDA")</f>
        <v>0</v>
      </c>
      <c r="G941" s="51">
        <f t="shared" si="2"/>
        <v>0</v>
      </c>
      <c r="I941" s="34"/>
    </row>
    <row r="942" ht="22.5" customHeight="1">
      <c r="A942" s="35"/>
      <c r="B942" s="35"/>
      <c r="C942" s="35"/>
      <c r="D942" s="50"/>
      <c r="F942" s="51">
        <f>SUMIFS('MOVIMENTAÇÃO'!$E:$E,'MOVIMENTAÇÃO'!$C:$C,A942,'MOVIMENTAÇÃO'!$B:$B,"PERDA")</f>
        <v>0</v>
      </c>
      <c r="G942" s="51">
        <f t="shared" si="2"/>
        <v>0</v>
      </c>
      <c r="I942" s="34"/>
    </row>
    <row r="943" ht="22.5" customHeight="1">
      <c r="A943" s="35"/>
      <c r="B943" s="35"/>
      <c r="C943" s="35"/>
      <c r="D943" s="50"/>
      <c r="F943" s="51">
        <f>SUMIFS('MOVIMENTAÇÃO'!$E:$E,'MOVIMENTAÇÃO'!$C:$C,A943,'MOVIMENTAÇÃO'!$B:$B,"PERDA")</f>
        <v>0</v>
      </c>
      <c r="G943" s="51">
        <f t="shared" si="2"/>
        <v>0</v>
      </c>
      <c r="I943" s="34"/>
    </row>
    <row r="944" ht="22.5" customHeight="1">
      <c r="A944" s="35"/>
      <c r="B944" s="35"/>
      <c r="C944" s="35"/>
      <c r="D944" s="50"/>
      <c r="F944" s="51">
        <f>SUMIFS('MOVIMENTAÇÃO'!$E:$E,'MOVIMENTAÇÃO'!$C:$C,A944,'MOVIMENTAÇÃO'!$B:$B,"PERDA")</f>
        <v>0</v>
      </c>
      <c r="G944" s="51">
        <f t="shared" si="2"/>
        <v>0</v>
      </c>
      <c r="I944" s="34"/>
    </row>
    <row r="945" ht="22.5" customHeight="1">
      <c r="A945" s="35"/>
      <c r="B945" s="35"/>
      <c r="C945" s="35"/>
      <c r="D945" s="50"/>
      <c r="F945" s="51">
        <f>SUMIFS('MOVIMENTAÇÃO'!$E:$E,'MOVIMENTAÇÃO'!$C:$C,A945,'MOVIMENTAÇÃO'!$B:$B,"PERDA")</f>
        <v>0</v>
      </c>
      <c r="G945" s="51">
        <f t="shared" si="2"/>
        <v>0</v>
      </c>
      <c r="I945" s="34"/>
    </row>
    <row r="946" ht="22.5" customHeight="1">
      <c r="A946" s="35"/>
      <c r="B946" s="35"/>
      <c r="C946" s="35"/>
      <c r="D946" s="50"/>
      <c r="F946" s="51">
        <f>SUMIFS('MOVIMENTAÇÃO'!$E:$E,'MOVIMENTAÇÃO'!$C:$C,A946,'MOVIMENTAÇÃO'!$B:$B,"PERDA")</f>
        <v>0</v>
      </c>
      <c r="G946" s="51">
        <f t="shared" si="2"/>
        <v>0</v>
      </c>
      <c r="I946" s="34"/>
    </row>
    <row r="947" ht="22.5" customHeight="1">
      <c r="A947" s="35"/>
      <c r="B947" s="35"/>
      <c r="C947" s="35"/>
      <c r="D947" s="50"/>
      <c r="F947" s="51">
        <f>SUMIFS('MOVIMENTAÇÃO'!$E:$E,'MOVIMENTAÇÃO'!$C:$C,A947,'MOVIMENTAÇÃO'!$B:$B,"PERDA")</f>
        <v>0</v>
      </c>
      <c r="G947" s="51">
        <f t="shared" si="2"/>
        <v>0</v>
      </c>
      <c r="I947" s="34"/>
    </row>
    <row r="948" ht="22.5" customHeight="1">
      <c r="A948" s="35"/>
      <c r="B948" s="35"/>
      <c r="C948" s="35"/>
      <c r="D948" s="50"/>
      <c r="F948" s="51">
        <f>SUMIFS('MOVIMENTAÇÃO'!$E:$E,'MOVIMENTAÇÃO'!$C:$C,A948,'MOVIMENTAÇÃO'!$B:$B,"PERDA")</f>
        <v>0</v>
      </c>
      <c r="G948" s="51">
        <f t="shared" si="2"/>
        <v>0</v>
      </c>
      <c r="I948" s="34"/>
    </row>
    <row r="949" ht="22.5" customHeight="1">
      <c r="A949" s="35"/>
      <c r="B949" s="35"/>
      <c r="C949" s="35"/>
      <c r="D949" s="50"/>
      <c r="F949" s="51">
        <f>SUMIFS('MOVIMENTAÇÃO'!$E:$E,'MOVIMENTAÇÃO'!$C:$C,A949,'MOVIMENTAÇÃO'!$B:$B,"PERDA")</f>
        <v>0</v>
      </c>
      <c r="G949" s="51">
        <f t="shared" si="2"/>
        <v>0</v>
      </c>
      <c r="I949" s="34"/>
    </row>
    <row r="950" ht="22.5" customHeight="1">
      <c r="A950" s="35"/>
      <c r="B950" s="35"/>
      <c r="C950" s="35"/>
      <c r="D950" s="50"/>
      <c r="F950" s="51">
        <f>SUMIFS('MOVIMENTAÇÃO'!$E:$E,'MOVIMENTAÇÃO'!$C:$C,A950,'MOVIMENTAÇÃO'!$B:$B,"PERDA")</f>
        <v>0</v>
      </c>
      <c r="G950" s="51">
        <f t="shared" si="2"/>
        <v>0</v>
      </c>
      <c r="I950" s="34"/>
    </row>
    <row r="951" ht="22.5" customHeight="1">
      <c r="A951" s="35"/>
      <c r="B951" s="35"/>
      <c r="C951" s="35"/>
      <c r="D951" s="50"/>
      <c r="F951" s="51">
        <f>SUMIFS('MOVIMENTAÇÃO'!$E:$E,'MOVIMENTAÇÃO'!$C:$C,A951,'MOVIMENTAÇÃO'!$B:$B,"PERDA")</f>
        <v>0</v>
      </c>
      <c r="G951" s="51">
        <f t="shared" si="2"/>
        <v>0</v>
      </c>
      <c r="I951" s="34"/>
    </row>
    <row r="952" ht="22.5" customHeight="1">
      <c r="A952" s="35"/>
      <c r="B952" s="35"/>
      <c r="C952" s="35"/>
      <c r="D952" s="50"/>
      <c r="F952" s="51">
        <f>SUMIFS('MOVIMENTAÇÃO'!$E:$E,'MOVIMENTAÇÃO'!$C:$C,A952,'MOVIMENTAÇÃO'!$B:$B,"PERDA")</f>
        <v>0</v>
      </c>
      <c r="G952" s="51">
        <f t="shared" si="2"/>
        <v>0</v>
      </c>
      <c r="I952" s="34"/>
    </row>
    <row r="953" ht="22.5" customHeight="1">
      <c r="A953" s="35"/>
      <c r="B953" s="35"/>
      <c r="C953" s="35"/>
      <c r="D953" s="50"/>
      <c r="F953" s="51">
        <f>SUMIFS('MOVIMENTAÇÃO'!$E:$E,'MOVIMENTAÇÃO'!$C:$C,A953,'MOVIMENTAÇÃO'!$B:$B,"PERDA")</f>
        <v>0</v>
      </c>
      <c r="G953" s="51">
        <f t="shared" si="2"/>
        <v>0</v>
      </c>
      <c r="I953" s="34"/>
    </row>
    <row r="954" ht="22.5" customHeight="1">
      <c r="A954" s="35"/>
      <c r="B954" s="35"/>
      <c r="C954" s="35"/>
      <c r="D954" s="50"/>
      <c r="F954" s="51">
        <f>SUMIFS('MOVIMENTAÇÃO'!$E:$E,'MOVIMENTAÇÃO'!$C:$C,A954,'MOVIMENTAÇÃO'!$B:$B,"PERDA")</f>
        <v>0</v>
      </c>
      <c r="G954" s="51">
        <f t="shared" si="2"/>
        <v>0</v>
      </c>
      <c r="I954" s="34"/>
    </row>
    <row r="955" ht="22.5" customHeight="1">
      <c r="A955" s="35"/>
      <c r="B955" s="35"/>
      <c r="C955" s="35"/>
      <c r="D955" s="50"/>
      <c r="F955" s="51">
        <f>SUMIFS('MOVIMENTAÇÃO'!$E:$E,'MOVIMENTAÇÃO'!$C:$C,A955,'MOVIMENTAÇÃO'!$B:$B,"PERDA")</f>
        <v>0</v>
      </c>
      <c r="G955" s="51">
        <f t="shared" si="2"/>
        <v>0</v>
      </c>
      <c r="I955" s="34"/>
    </row>
    <row r="956" ht="22.5" customHeight="1">
      <c r="A956" s="35"/>
      <c r="B956" s="35"/>
      <c r="C956" s="35"/>
      <c r="D956" s="50"/>
      <c r="F956" s="51">
        <f>SUMIFS('MOVIMENTAÇÃO'!$E:$E,'MOVIMENTAÇÃO'!$C:$C,A956,'MOVIMENTAÇÃO'!$B:$B,"PERDA")</f>
        <v>0</v>
      </c>
      <c r="G956" s="51">
        <f t="shared" si="2"/>
        <v>0</v>
      </c>
      <c r="I956" s="34"/>
    </row>
    <row r="957" ht="22.5" customHeight="1">
      <c r="A957" s="35"/>
      <c r="B957" s="35"/>
      <c r="C957" s="35"/>
      <c r="D957" s="50"/>
      <c r="F957" s="51">
        <f>SUMIFS('MOVIMENTAÇÃO'!$E:$E,'MOVIMENTAÇÃO'!$C:$C,A957,'MOVIMENTAÇÃO'!$B:$B,"PERDA")</f>
        <v>0</v>
      </c>
      <c r="G957" s="51">
        <f t="shared" si="2"/>
        <v>0</v>
      </c>
      <c r="I957" s="34"/>
    </row>
    <row r="958" ht="22.5" customHeight="1">
      <c r="A958" s="35"/>
      <c r="B958" s="35"/>
      <c r="C958" s="35"/>
      <c r="D958" s="50"/>
      <c r="F958" s="51">
        <f>SUMIFS('MOVIMENTAÇÃO'!$E:$E,'MOVIMENTAÇÃO'!$C:$C,A958,'MOVIMENTAÇÃO'!$B:$B,"PERDA")</f>
        <v>0</v>
      </c>
      <c r="G958" s="51">
        <f t="shared" si="2"/>
        <v>0</v>
      </c>
      <c r="I958" s="34"/>
    </row>
    <row r="959" ht="22.5" customHeight="1">
      <c r="A959" s="35"/>
      <c r="B959" s="35"/>
      <c r="C959" s="35"/>
      <c r="D959" s="50"/>
      <c r="F959" s="51">
        <f>SUMIFS('MOVIMENTAÇÃO'!$E:$E,'MOVIMENTAÇÃO'!$C:$C,A959,'MOVIMENTAÇÃO'!$B:$B,"PERDA")</f>
        <v>0</v>
      </c>
      <c r="G959" s="51">
        <f t="shared" si="2"/>
        <v>0</v>
      </c>
      <c r="I959" s="34"/>
    </row>
    <row r="960" ht="22.5" customHeight="1">
      <c r="A960" s="35"/>
      <c r="B960" s="35"/>
      <c r="C960" s="35"/>
      <c r="D960" s="50"/>
      <c r="F960" s="51">
        <f>SUMIFS('MOVIMENTAÇÃO'!$E:$E,'MOVIMENTAÇÃO'!$C:$C,A960,'MOVIMENTAÇÃO'!$B:$B,"PERDA")</f>
        <v>0</v>
      </c>
      <c r="G960" s="51">
        <f t="shared" si="2"/>
        <v>0</v>
      </c>
      <c r="I960" s="34"/>
    </row>
    <row r="961" ht="22.5" customHeight="1">
      <c r="A961" s="35"/>
      <c r="B961" s="35"/>
      <c r="C961" s="35"/>
      <c r="D961" s="50"/>
      <c r="F961" s="51">
        <f>SUMIFS('MOVIMENTAÇÃO'!$E:$E,'MOVIMENTAÇÃO'!$C:$C,A961,'MOVIMENTAÇÃO'!$B:$B,"PERDA")</f>
        <v>0</v>
      </c>
      <c r="G961" s="51">
        <f t="shared" si="2"/>
        <v>0</v>
      </c>
      <c r="I961" s="34"/>
    </row>
    <row r="962" ht="22.5" customHeight="1">
      <c r="A962" s="35"/>
      <c r="B962" s="35"/>
      <c r="C962" s="35"/>
      <c r="D962" s="50"/>
      <c r="F962" s="51">
        <f>SUMIFS('MOVIMENTAÇÃO'!$E:$E,'MOVIMENTAÇÃO'!$C:$C,A962,'MOVIMENTAÇÃO'!$B:$B,"PERDA")</f>
        <v>0</v>
      </c>
      <c r="G962" s="51">
        <f t="shared" si="2"/>
        <v>0</v>
      </c>
      <c r="I962" s="34"/>
    </row>
    <row r="963" ht="22.5" customHeight="1">
      <c r="A963" s="35"/>
      <c r="B963" s="35"/>
      <c r="C963" s="35"/>
      <c r="D963" s="50"/>
      <c r="F963" s="51">
        <f>SUMIFS('MOVIMENTAÇÃO'!$E:$E,'MOVIMENTAÇÃO'!$C:$C,A963,'MOVIMENTAÇÃO'!$B:$B,"PERDA")</f>
        <v>0</v>
      </c>
      <c r="G963" s="51">
        <f t="shared" si="2"/>
        <v>0</v>
      </c>
      <c r="I963" s="34"/>
    </row>
    <row r="964" ht="22.5" customHeight="1">
      <c r="A964" s="35"/>
      <c r="B964" s="35"/>
      <c r="C964" s="35"/>
      <c r="D964" s="50"/>
      <c r="F964" s="51">
        <f>SUMIFS('MOVIMENTAÇÃO'!$E:$E,'MOVIMENTAÇÃO'!$C:$C,A964,'MOVIMENTAÇÃO'!$B:$B,"PERDA")</f>
        <v>0</v>
      </c>
      <c r="G964" s="51">
        <f t="shared" si="2"/>
        <v>0</v>
      </c>
      <c r="I964" s="34"/>
    </row>
    <row r="965" ht="22.5" customHeight="1">
      <c r="A965" s="35"/>
      <c r="B965" s="35"/>
      <c r="C965" s="35"/>
      <c r="D965" s="50"/>
      <c r="F965" s="51">
        <f>SUMIFS('MOVIMENTAÇÃO'!$E:$E,'MOVIMENTAÇÃO'!$C:$C,A965,'MOVIMENTAÇÃO'!$B:$B,"PERDA")</f>
        <v>0</v>
      </c>
      <c r="G965" s="51">
        <f t="shared" si="2"/>
        <v>0</v>
      </c>
      <c r="I965" s="34"/>
    </row>
    <row r="966" ht="22.5" customHeight="1">
      <c r="A966" s="35"/>
      <c r="B966" s="35"/>
      <c r="C966" s="35"/>
      <c r="D966" s="50"/>
      <c r="F966" s="51">
        <f>SUMIFS('MOVIMENTAÇÃO'!$E:$E,'MOVIMENTAÇÃO'!$C:$C,A966,'MOVIMENTAÇÃO'!$B:$B,"PERDA")</f>
        <v>0</v>
      </c>
      <c r="G966" s="51">
        <f t="shared" si="2"/>
        <v>0</v>
      </c>
      <c r="I966" s="34"/>
    </row>
    <row r="967" ht="22.5" customHeight="1">
      <c r="A967" s="35"/>
      <c r="B967" s="35"/>
      <c r="C967" s="35"/>
      <c r="D967" s="50"/>
      <c r="F967" s="51">
        <f>SUMIFS('MOVIMENTAÇÃO'!$E:$E,'MOVIMENTAÇÃO'!$C:$C,A967,'MOVIMENTAÇÃO'!$B:$B,"PERDA")</f>
        <v>0</v>
      </c>
      <c r="G967" s="51">
        <f t="shared" si="2"/>
        <v>0</v>
      </c>
      <c r="I967" s="34"/>
    </row>
    <row r="968" ht="22.5" customHeight="1">
      <c r="A968" s="35"/>
      <c r="B968" s="35"/>
      <c r="C968" s="35"/>
      <c r="D968" s="50"/>
      <c r="F968" s="51">
        <f>SUMIFS('MOVIMENTAÇÃO'!$E:$E,'MOVIMENTAÇÃO'!$C:$C,A968,'MOVIMENTAÇÃO'!$B:$B,"PERDA")</f>
        <v>0</v>
      </c>
      <c r="G968" s="51">
        <f t="shared" si="2"/>
        <v>0</v>
      </c>
      <c r="I968" s="34"/>
    </row>
    <row r="969" ht="22.5" customHeight="1">
      <c r="A969" s="35"/>
      <c r="B969" s="35"/>
      <c r="C969" s="35"/>
      <c r="D969" s="50"/>
      <c r="F969" s="51">
        <f>SUMIFS('MOVIMENTAÇÃO'!$E:$E,'MOVIMENTAÇÃO'!$C:$C,A969,'MOVIMENTAÇÃO'!$B:$B,"PERDA")</f>
        <v>0</v>
      </c>
      <c r="G969" s="51">
        <f t="shared" si="2"/>
        <v>0</v>
      </c>
      <c r="I969" s="34"/>
    </row>
    <row r="970" ht="22.5" customHeight="1">
      <c r="A970" s="35"/>
      <c r="B970" s="35"/>
      <c r="C970" s="35"/>
      <c r="D970" s="50"/>
      <c r="F970" s="51">
        <f>SUMIFS('MOVIMENTAÇÃO'!$E:$E,'MOVIMENTAÇÃO'!$C:$C,A970,'MOVIMENTAÇÃO'!$B:$B,"PERDA")</f>
        <v>0</v>
      </c>
      <c r="G970" s="51">
        <f t="shared" si="2"/>
        <v>0</v>
      </c>
      <c r="I970" s="34"/>
    </row>
    <row r="971" ht="22.5" customHeight="1">
      <c r="A971" s="35"/>
      <c r="B971" s="35"/>
      <c r="C971" s="35"/>
      <c r="D971" s="50"/>
      <c r="F971" s="51">
        <f>SUMIFS('MOVIMENTAÇÃO'!$E:$E,'MOVIMENTAÇÃO'!$C:$C,A971,'MOVIMENTAÇÃO'!$B:$B,"PERDA")</f>
        <v>0</v>
      </c>
      <c r="G971" s="51">
        <f t="shared" si="2"/>
        <v>0</v>
      </c>
      <c r="I971" s="34"/>
    </row>
    <row r="972" ht="22.5" customHeight="1">
      <c r="A972" s="35"/>
      <c r="B972" s="35"/>
      <c r="C972" s="35"/>
      <c r="D972" s="50"/>
      <c r="F972" s="51">
        <f>SUMIFS('MOVIMENTAÇÃO'!$E:$E,'MOVIMENTAÇÃO'!$C:$C,A972,'MOVIMENTAÇÃO'!$B:$B,"PERDA")</f>
        <v>0</v>
      </c>
      <c r="G972" s="51">
        <f t="shared" si="2"/>
        <v>0</v>
      </c>
      <c r="I972" s="34"/>
    </row>
    <row r="973" ht="22.5" customHeight="1">
      <c r="A973" s="35"/>
      <c r="B973" s="35"/>
      <c r="C973" s="35"/>
      <c r="D973" s="50"/>
      <c r="F973" s="51">
        <f>SUMIFS('MOVIMENTAÇÃO'!$E:$E,'MOVIMENTAÇÃO'!$C:$C,A973,'MOVIMENTAÇÃO'!$B:$B,"PERDA")</f>
        <v>0</v>
      </c>
      <c r="G973" s="51">
        <f t="shared" si="2"/>
        <v>0</v>
      </c>
      <c r="I973" s="34"/>
    </row>
    <row r="974" ht="22.5" customHeight="1">
      <c r="A974" s="35"/>
      <c r="B974" s="35"/>
      <c r="C974" s="35"/>
      <c r="D974" s="50"/>
      <c r="F974" s="51">
        <f>SUMIFS('MOVIMENTAÇÃO'!$E:$E,'MOVIMENTAÇÃO'!$C:$C,A974,'MOVIMENTAÇÃO'!$B:$B,"PERDA")</f>
        <v>0</v>
      </c>
      <c r="G974" s="51">
        <f t="shared" si="2"/>
        <v>0</v>
      </c>
      <c r="I974" s="34"/>
    </row>
    <row r="975" ht="22.5" customHeight="1">
      <c r="A975" s="35"/>
      <c r="B975" s="35"/>
      <c r="C975" s="35"/>
      <c r="D975" s="50"/>
      <c r="F975" s="51">
        <f>SUMIFS('MOVIMENTAÇÃO'!$E:$E,'MOVIMENTAÇÃO'!$C:$C,A975,'MOVIMENTAÇÃO'!$B:$B,"PERDA")</f>
        <v>0</v>
      </c>
      <c r="G975" s="51">
        <f t="shared" si="2"/>
        <v>0</v>
      </c>
      <c r="I975" s="34"/>
    </row>
    <row r="976" ht="22.5" customHeight="1">
      <c r="A976" s="35"/>
      <c r="B976" s="35"/>
      <c r="C976" s="35"/>
      <c r="D976" s="50"/>
      <c r="F976" s="51">
        <f>SUMIFS('MOVIMENTAÇÃO'!$E:$E,'MOVIMENTAÇÃO'!$C:$C,A976,'MOVIMENTAÇÃO'!$B:$B,"PERDA")</f>
        <v>0</v>
      </c>
      <c r="G976" s="51">
        <f t="shared" si="2"/>
        <v>0</v>
      </c>
      <c r="I976" s="34"/>
    </row>
    <row r="977" ht="22.5" customHeight="1">
      <c r="A977" s="35"/>
      <c r="B977" s="35"/>
      <c r="C977" s="35"/>
      <c r="D977" s="50"/>
      <c r="F977" s="51">
        <f>SUMIFS('MOVIMENTAÇÃO'!$E:$E,'MOVIMENTAÇÃO'!$C:$C,A977,'MOVIMENTAÇÃO'!$B:$B,"PERDA")</f>
        <v>0</v>
      </c>
      <c r="G977" s="51">
        <f t="shared" si="2"/>
        <v>0</v>
      </c>
      <c r="I977" s="34"/>
    </row>
    <row r="978" ht="22.5" customHeight="1">
      <c r="A978" s="35"/>
      <c r="B978" s="35"/>
      <c r="C978" s="35"/>
      <c r="D978" s="50"/>
      <c r="F978" s="51">
        <f>SUMIFS('MOVIMENTAÇÃO'!$E:$E,'MOVIMENTAÇÃO'!$C:$C,A978,'MOVIMENTAÇÃO'!$B:$B,"PERDA")</f>
        <v>0</v>
      </c>
      <c r="G978" s="51">
        <f t="shared" si="2"/>
        <v>0</v>
      </c>
      <c r="I978" s="34"/>
    </row>
    <row r="979" ht="22.5" customHeight="1">
      <c r="A979" s="35"/>
      <c r="B979" s="35"/>
      <c r="C979" s="35"/>
      <c r="D979" s="50"/>
      <c r="F979" s="51">
        <f>SUMIFS('MOVIMENTAÇÃO'!$E:$E,'MOVIMENTAÇÃO'!$C:$C,A979,'MOVIMENTAÇÃO'!$B:$B,"PERDA")</f>
        <v>0</v>
      </c>
      <c r="G979" s="51">
        <f t="shared" si="2"/>
        <v>0</v>
      </c>
      <c r="I979" s="34"/>
    </row>
    <row r="980" ht="22.5" customHeight="1">
      <c r="A980" s="35"/>
      <c r="B980" s="35"/>
      <c r="C980" s="35"/>
      <c r="D980" s="50"/>
      <c r="F980" s="51">
        <f>SUMIFS('MOVIMENTAÇÃO'!$E:$E,'MOVIMENTAÇÃO'!$C:$C,A980,'MOVIMENTAÇÃO'!$B:$B,"PERDA")</f>
        <v>0</v>
      </c>
      <c r="G980" s="51">
        <f t="shared" si="2"/>
        <v>0</v>
      </c>
      <c r="I980" s="34"/>
    </row>
    <row r="981" ht="22.5" customHeight="1">
      <c r="A981" s="35"/>
      <c r="B981" s="35"/>
      <c r="C981" s="35"/>
      <c r="D981" s="50"/>
      <c r="F981" s="51">
        <f>SUMIFS('MOVIMENTAÇÃO'!$E:$E,'MOVIMENTAÇÃO'!$C:$C,A981,'MOVIMENTAÇÃO'!$B:$B,"PERDA")</f>
        <v>0</v>
      </c>
      <c r="G981" s="51">
        <f t="shared" si="2"/>
        <v>0</v>
      </c>
      <c r="I981" s="34"/>
    </row>
    <row r="982" ht="22.5" customHeight="1">
      <c r="A982" s="35"/>
      <c r="B982" s="35"/>
      <c r="C982" s="35"/>
      <c r="D982" s="50"/>
      <c r="F982" s="51">
        <f>SUMIFS('MOVIMENTAÇÃO'!$E:$E,'MOVIMENTAÇÃO'!$C:$C,A982,'MOVIMENTAÇÃO'!$B:$B,"PERDA")</f>
        <v>0</v>
      </c>
      <c r="G982" s="51">
        <f t="shared" si="2"/>
        <v>0</v>
      </c>
      <c r="I982" s="34"/>
    </row>
    <row r="983" ht="22.5" customHeight="1">
      <c r="A983" s="35"/>
      <c r="B983" s="35"/>
      <c r="C983" s="35"/>
      <c r="D983" s="50"/>
      <c r="F983" s="51">
        <f>SUMIFS('MOVIMENTAÇÃO'!$E:$E,'MOVIMENTAÇÃO'!$C:$C,A983,'MOVIMENTAÇÃO'!$B:$B,"PERDA")</f>
        <v>0</v>
      </c>
      <c r="G983" s="51">
        <f t="shared" si="2"/>
        <v>0</v>
      </c>
      <c r="I983" s="34"/>
    </row>
    <row r="984" ht="22.5" customHeight="1">
      <c r="A984" s="35"/>
      <c r="B984" s="35"/>
      <c r="C984" s="35"/>
      <c r="D984" s="50"/>
      <c r="F984" s="51">
        <f>SUMIFS('MOVIMENTAÇÃO'!$E:$E,'MOVIMENTAÇÃO'!$C:$C,A984,'MOVIMENTAÇÃO'!$B:$B,"PERDA")</f>
        <v>0</v>
      </c>
      <c r="G984" s="51">
        <f t="shared" si="2"/>
        <v>0</v>
      </c>
      <c r="I984" s="34"/>
    </row>
    <row r="985" ht="22.5" customHeight="1">
      <c r="A985" s="35"/>
      <c r="B985" s="35"/>
      <c r="C985" s="35"/>
      <c r="D985" s="50"/>
      <c r="F985" s="51">
        <f>SUMIFS('MOVIMENTAÇÃO'!$E:$E,'MOVIMENTAÇÃO'!$C:$C,A985,'MOVIMENTAÇÃO'!$B:$B,"PERDA")</f>
        <v>0</v>
      </c>
      <c r="G985" s="51">
        <f t="shared" si="2"/>
        <v>0</v>
      </c>
      <c r="I985" s="34"/>
    </row>
    <row r="986" ht="22.5" customHeight="1">
      <c r="A986" s="35"/>
      <c r="B986" s="35"/>
      <c r="C986" s="35"/>
      <c r="D986" s="50"/>
      <c r="F986" s="51">
        <f>SUMIFS('MOVIMENTAÇÃO'!$E:$E,'MOVIMENTAÇÃO'!$C:$C,A986,'MOVIMENTAÇÃO'!$B:$B,"PERDA")</f>
        <v>0</v>
      </c>
      <c r="G986" s="51">
        <f t="shared" si="2"/>
        <v>0</v>
      </c>
      <c r="I986" s="34"/>
    </row>
    <row r="987" ht="22.5" customHeight="1">
      <c r="A987" s="35"/>
      <c r="B987" s="35"/>
      <c r="C987" s="35"/>
      <c r="D987" s="50"/>
      <c r="F987" s="51">
        <f>SUMIFS('MOVIMENTAÇÃO'!$E:$E,'MOVIMENTAÇÃO'!$C:$C,A987,'MOVIMENTAÇÃO'!$B:$B,"PERDA")</f>
        <v>0</v>
      </c>
      <c r="G987" s="51">
        <f t="shared" si="2"/>
        <v>0</v>
      </c>
      <c r="I987" s="34"/>
    </row>
    <row r="988" ht="22.5" customHeight="1">
      <c r="A988" s="35"/>
      <c r="B988" s="35"/>
      <c r="C988" s="35"/>
      <c r="D988" s="50"/>
      <c r="F988" s="51">
        <f>SUMIFS('MOVIMENTAÇÃO'!$E:$E,'MOVIMENTAÇÃO'!$C:$C,A988,'MOVIMENTAÇÃO'!$B:$B,"PERDA")</f>
        <v>0</v>
      </c>
      <c r="G988" s="51">
        <f t="shared" si="2"/>
        <v>0</v>
      </c>
      <c r="I988" s="34"/>
    </row>
    <row r="989" ht="22.5" customHeight="1">
      <c r="A989" s="35"/>
      <c r="B989" s="35"/>
      <c r="C989" s="35"/>
      <c r="D989" s="50"/>
      <c r="F989" s="51">
        <f>SUMIFS('MOVIMENTAÇÃO'!$E:$E,'MOVIMENTAÇÃO'!$C:$C,A989,'MOVIMENTAÇÃO'!$B:$B,"PERDA")</f>
        <v>0</v>
      </c>
      <c r="G989" s="51">
        <f t="shared" si="2"/>
        <v>0</v>
      </c>
      <c r="I989" s="34"/>
    </row>
    <row r="990" ht="22.5" customHeight="1">
      <c r="A990" s="35"/>
      <c r="B990" s="35"/>
      <c r="C990" s="35"/>
      <c r="D990" s="50"/>
      <c r="F990" s="51">
        <f>SUMIFS('MOVIMENTAÇÃO'!$E:$E,'MOVIMENTAÇÃO'!$C:$C,A990,'MOVIMENTAÇÃO'!$B:$B,"PERDA")</f>
        <v>0</v>
      </c>
      <c r="G990" s="51">
        <f t="shared" si="2"/>
        <v>0</v>
      </c>
      <c r="I990" s="34"/>
    </row>
    <row r="991" ht="22.5" customHeight="1">
      <c r="A991" s="35"/>
      <c r="B991" s="35"/>
      <c r="C991" s="35"/>
      <c r="D991" s="50"/>
      <c r="F991" s="51">
        <f>SUMIFS('MOVIMENTAÇÃO'!$E:$E,'MOVIMENTAÇÃO'!$C:$C,A991,'MOVIMENTAÇÃO'!$B:$B,"PERDA")</f>
        <v>0</v>
      </c>
      <c r="G991" s="51">
        <f t="shared" si="2"/>
        <v>0</v>
      </c>
      <c r="I991" s="34"/>
    </row>
    <row r="992" ht="22.5" customHeight="1">
      <c r="A992" s="35"/>
      <c r="B992" s="35"/>
      <c r="C992" s="35"/>
      <c r="D992" s="50"/>
      <c r="F992" s="51">
        <f>SUMIFS('MOVIMENTAÇÃO'!$E:$E,'MOVIMENTAÇÃO'!$C:$C,A992,'MOVIMENTAÇÃO'!$B:$B,"PERDA")</f>
        <v>0</v>
      </c>
      <c r="G992" s="51">
        <f t="shared" si="2"/>
        <v>0</v>
      </c>
      <c r="I992" s="34"/>
    </row>
    <row r="993" ht="22.5" customHeight="1">
      <c r="A993" s="35"/>
      <c r="B993" s="35"/>
      <c r="C993" s="35"/>
      <c r="D993" s="50"/>
      <c r="F993" s="51">
        <f>SUMIFS('MOVIMENTAÇÃO'!$E:$E,'MOVIMENTAÇÃO'!$C:$C,A993,'MOVIMENTAÇÃO'!$B:$B,"PERDA")</f>
        <v>0</v>
      </c>
      <c r="G993" s="51">
        <f t="shared" si="2"/>
        <v>0</v>
      </c>
      <c r="I993" s="34"/>
    </row>
    <row r="994" ht="22.5" customHeight="1">
      <c r="A994" s="35"/>
      <c r="B994" s="35"/>
      <c r="C994" s="35"/>
      <c r="D994" s="50"/>
      <c r="F994" s="51">
        <f>SUMIFS('MOVIMENTAÇÃO'!$E:$E,'MOVIMENTAÇÃO'!$C:$C,A994,'MOVIMENTAÇÃO'!$B:$B,"PERDA")</f>
        <v>0</v>
      </c>
      <c r="G994" s="51">
        <f t="shared" si="2"/>
        <v>0</v>
      </c>
      <c r="I994" s="34"/>
    </row>
    <row r="995" ht="22.5" customHeight="1">
      <c r="A995" s="35"/>
      <c r="B995" s="35"/>
      <c r="C995" s="35"/>
      <c r="D995" s="50"/>
      <c r="F995" s="51">
        <f>SUMIFS('MOVIMENTAÇÃO'!$E:$E,'MOVIMENTAÇÃO'!$C:$C,A995,'MOVIMENTAÇÃO'!$B:$B,"PERDA")</f>
        <v>0</v>
      </c>
      <c r="G995" s="51">
        <f t="shared" si="2"/>
        <v>0</v>
      </c>
      <c r="I995" s="34"/>
    </row>
    <row r="996" ht="22.5" customHeight="1">
      <c r="A996" s="35"/>
      <c r="B996" s="35"/>
      <c r="C996" s="35"/>
      <c r="D996" s="50"/>
      <c r="F996" s="51">
        <f>SUMIFS('MOVIMENTAÇÃO'!$E:$E,'MOVIMENTAÇÃO'!$C:$C,A996,'MOVIMENTAÇÃO'!$B:$B,"PERDA")</f>
        <v>0</v>
      </c>
      <c r="G996" s="51">
        <f t="shared" si="2"/>
        <v>0</v>
      </c>
      <c r="I996" s="34"/>
    </row>
    <row r="997" ht="22.5" customHeight="1">
      <c r="D997" s="87"/>
      <c r="F997" s="51">
        <f>SUMIFS('MOVIMENTAÇÃO'!$E:$E,'MOVIMENTAÇÃO'!$C:$C,A997,'MOVIMENTAÇÃO'!$B:$B,"PERDA")</f>
        <v>0</v>
      </c>
      <c r="G997" s="51">
        <f t="shared" si="2"/>
        <v>0</v>
      </c>
      <c r="I997" s="34"/>
    </row>
    <row r="998" ht="22.5" customHeight="1">
      <c r="D998" s="87"/>
      <c r="F998" s="51">
        <f>SUMIFS('MOVIMENTAÇÃO'!$E:$E,'MOVIMENTAÇÃO'!$C:$C,A998,'MOVIMENTAÇÃO'!$B:$B,"PERDA")</f>
        <v>0</v>
      </c>
      <c r="G998" s="51">
        <f t="shared" si="2"/>
        <v>0</v>
      </c>
      <c r="I998" s="34"/>
    </row>
    <row r="999" ht="22.5" customHeight="1">
      <c r="D999" s="87"/>
      <c r="F999" s="51">
        <f>SUMIFS('MOVIMENTAÇÃO'!$E:$E,'MOVIMENTAÇÃO'!$C:$C,A999,'MOVIMENTAÇÃO'!$B:$B,"PERDA")</f>
        <v>0</v>
      </c>
      <c r="G999" s="51">
        <f t="shared" si="2"/>
        <v>0</v>
      </c>
      <c r="I999" s="34"/>
    </row>
  </sheetData>
  <dataValidations>
    <dataValidation type="custom" allowBlank="1" showDropDown="1" sqref="D2:D999 F2:F999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1.88"/>
    <col customWidth="1" min="3" max="3" width="47.25"/>
    <col customWidth="1" min="4" max="5" width="15.88"/>
    <col customWidth="1" min="6" max="6" width="21.88"/>
  </cols>
  <sheetData>
    <row r="1" ht="24.0" customHeight="1">
      <c r="A1" s="5" t="s">
        <v>4</v>
      </c>
      <c r="B1" s="5" t="s">
        <v>3</v>
      </c>
      <c r="C1" s="5" t="s">
        <v>5</v>
      </c>
      <c r="D1" s="5" t="s">
        <v>7</v>
      </c>
      <c r="E1" s="5" t="s">
        <v>9</v>
      </c>
      <c r="F1" s="17"/>
    </row>
    <row r="2" ht="22.5" customHeight="1">
      <c r="A2" s="19">
        <v>45966.0</v>
      </c>
      <c r="B2" s="21" t="s">
        <v>18</v>
      </c>
      <c r="C2" s="21" t="s">
        <v>21</v>
      </c>
      <c r="D2" s="3">
        <v>15.0</v>
      </c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2.5" customHeight="1">
      <c r="A3" s="27">
        <v>45223.0</v>
      </c>
      <c r="B3" s="29" t="s">
        <v>18</v>
      </c>
      <c r="C3" s="29" t="s">
        <v>22</v>
      </c>
      <c r="D3" s="30">
        <v>74.0</v>
      </c>
      <c r="E3" s="31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2.5" customHeight="1">
      <c r="A4" s="27">
        <v>45358.0</v>
      </c>
      <c r="B4" s="29" t="s">
        <v>15</v>
      </c>
      <c r="C4" s="29" t="s">
        <v>22</v>
      </c>
      <c r="D4" s="30">
        <v>20.0</v>
      </c>
      <c r="E4" s="31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2.5" customHeight="1">
      <c r="A5" s="19">
        <v>45455.0</v>
      </c>
      <c r="B5" s="21" t="s">
        <v>15</v>
      </c>
      <c r="C5" s="21" t="s">
        <v>22</v>
      </c>
      <c r="D5" s="3">
        <v>9.0</v>
      </c>
      <c r="E5" s="23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22.5" customHeight="1">
      <c r="A6" s="19">
        <v>45469.0</v>
      </c>
      <c r="B6" s="21" t="s">
        <v>18</v>
      </c>
      <c r="C6" s="21" t="s">
        <v>22</v>
      </c>
      <c r="D6" s="3">
        <v>50.0</v>
      </c>
      <c r="E6" s="23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22.5" customHeight="1">
      <c r="A7" s="19">
        <v>45555.0</v>
      </c>
      <c r="B7" s="21" t="s">
        <v>15</v>
      </c>
      <c r="C7" s="21" t="s">
        <v>22</v>
      </c>
      <c r="D7" s="3">
        <v>24.0</v>
      </c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22.5" customHeight="1">
      <c r="A8" s="19">
        <v>45637.0</v>
      </c>
      <c r="B8" s="21" t="s">
        <v>15</v>
      </c>
      <c r="C8" s="21" t="s">
        <v>22</v>
      </c>
      <c r="D8" s="3">
        <v>28.0</v>
      </c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22.5" customHeight="1">
      <c r="A9" s="19">
        <v>45775.0</v>
      </c>
      <c r="B9" s="21" t="s">
        <v>18</v>
      </c>
      <c r="C9" s="21" t="s">
        <v>22</v>
      </c>
      <c r="D9" s="3">
        <v>60.0</v>
      </c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22.5" customHeight="1">
      <c r="A10" s="19">
        <v>45796.0</v>
      </c>
      <c r="B10" s="21" t="s">
        <v>15</v>
      </c>
      <c r="C10" s="21" t="s">
        <v>22</v>
      </c>
      <c r="D10" s="3">
        <v>65.0</v>
      </c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2.5" customHeight="1">
      <c r="A11" s="19">
        <v>45887.0</v>
      </c>
      <c r="B11" s="21" t="s">
        <v>18</v>
      </c>
      <c r="C11" s="21" t="s">
        <v>22</v>
      </c>
      <c r="D11" s="3">
        <v>40.0</v>
      </c>
      <c r="E11" s="2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2.5" customHeight="1">
      <c r="A12" s="19">
        <v>45889.0</v>
      </c>
      <c r="B12" s="21" t="s">
        <v>15</v>
      </c>
      <c r="C12" s="21" t="s">
        <v>22</v>
      </c>
      <c r="D12" s="3">
        <v>21.0</v>
      </c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22.5" customHeight="1">
      <c r="A13" s="19">
        <v>45972.0</v>
      </c>
      <c r="B13" s="21" t="s">
        <v>15</v>
      </c>
      <c r="C13" s="21" t="s">
        <v>22</v>
      </c>
      <c r="D13" s="3">
        <v>15.0</v>
      </c>
      <c r="E13" s="23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2.5" customHeight="1">
      <c r="A14" s="19">
        <v>45952.0</v>
      </c>
      <c r="B14" s="21" t="s">
        <v>18</v>
      </c>
      <c r="C14" s="21" t="s">
        <v>27</v>
      </c>
      <c r="D14" s="3">
        <v>25.0</v>
      </c>
      <c r="E14" s="23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2.5" customHeight="1">
      <c r="A15" s="19">
        <v>45973.0</v>
      </c>
      <c r="B15" s="21" t="s">
        <v>15</v>
      </c>
      <c r="C15" s="21" t="s">
        <v>27</v>
      </c>
      <c r="D15" s="3">
        <v>1.0</v>
      </c>
      <c r="E15" s="2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22.5" customHeight="1">
      <c r="A16" s="19">
        <v>45806.0</v>
      </c>
      <c r="B16" s="21" t="s">
        <v>18</v>
      </c>
      <c r="C16" s="21" t="s">
        <v>31</v>
      </c>
      <c r="D16" s="3">
        <v>121.0</v>
      </c>
      <c r="E16" s="23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22.5" customHeight="1">
      <c r="A17" s="19">
        <v>45806.0</v>
      </c>
      <c r="B17" s="21" t="s">
        <v>15</v>
      </c>
      <c r="C17" s="21" t="s">
        <v>31</v>
      </c>
      <c r="D17" s="3">
        <v>70.0</v>
      </c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22.5" customHeight="1">
      <c r="A18" s="19">
        <v>45905.0</v>
      </c>
      <c r="B18" s="21" t="s">
        <v>15</v>
      </c>
      <c r="C18" s="21" t="s">
        <v>31</v>
      </c>
      <c r="D18" s="3">
        <v>34.0</v>
      </c>
      <c r="E18" s="2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2.5" customHeight="1">
      <c r="A19" s="19">
        <v>45923.0</v>
      </c>
      <c r="B19" s="21" t="s">
        <v>18</v>
      </c>
      <c r="C19" s="21" t="s">
        <v>31</v>
      </c>
      <c r="D19" s="3">
        <v>200.0</v>
      </c>
      <c r="E19" s="2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2.5" customHeight="1">
      <c r="A20" s="19">
        <v>45929.0</v>
      </c>
      <c r="B20" s="21" t="s">
        <v>15</v>
      </c>
      <c r="C20" s="21" t="s">
        <v>31</v>
      </c>
      <c r="D20" s="3">
        <v>122.0</v>
      </c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2.5" customHeight="1">
      <c r="A21" s="19">
        <v>45931.0</v>
      </c>
      <c r="B21" s="21" t="s">
        <v>18</v>
      </c>
      <c r="C21" s="21" t="s">
        <v>31</v>
      </c>
      <c r="D21" s="3">
        <v>23.0</v>
      </c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2.5" customHeight="1">
      <c r="A22" s="19">
        <v>45958.0</v>
      </c>
      <c r="B22" s="21" t="s">
        <v>15</v>
      </c>
      <c r="C22" s="21" t="s">
        <v>31</v>
      </c>
      <c r="D22" s="3">
        <v>50.0</v>
      </c>
      <c r="E22" s="2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2.5" customHeight="1">
      <c r="A23" s="19">
        <v>45960.0</v>
      </c>
      <c r="B23" s="21" t="s">
        <v>18</v>
      </c>
      <c r="C23" s="21" t="s">
        <v>31</v>
      </c>
      <c r="D23" s="3">
        <v>14.0</v>
      </c>
      <c r="E23" s="2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2.5" customHeight="1">
      <c r="A24" s="19">
        <v>45992.0</v>
      </c>
      <c r="B24" s="21" t="s">
        <v>15</v>
      </c>
      <c r="C24" s="21" t="s">
        <v>31</v>
      </c>
      <c r="D24" s="3">
        <v>50.0</v>
      </c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2.5" customHeight="1">
      <c r="A25" s="27">
        <v>45322.0</v>
      </c>
      <c r="B25" s="29" t="s">
        <v>18</v>
      </c>
      <c r="C25" s="29" t="s">
        <v>33</v>
      </c>
      <c r="D25" s="30">
        <v>644.0</v>
      </c>
      <c r="E25" s="31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2.5" customHeight="1">
      <c r="A26" s="27">
        <v>45323.0</v>
      </c>
      <c r="B26" s="29" t="s">
        <v>15</v>
      </c>
      <c r="C26" s="29" t="s">
        <v>33</v>
      </c>
      <c r="D26" s="30">
        <v>644.0</v>
      </c>
      <c r="E26" s="31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2.5" customHeight="1">
      <c r="A27" s="27">
        <v>45341.0</v>
      </c>
      <c r="B27" s="29" t="s">
        <v>18</v>
      </c>
      <c r="C27" s="29" t="s">
        <v>33</v>
      </c>
      <c r="D27" s="30">
        <v>100.0</v>
      </c>
      <c r="E27" s="31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2.5" customHeight="1">
      <c r="A28" s="19">
        <v>45421.0</v>
      </c>
      <c r="B28" s="21" t="s">
        <v>15</v>
      </c>
      <c r="C28" s="21" t="s">
        <v>33</v>
      </c>
      <c r="D28" s="3">
        <v>100.0</v>
      </c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2.5" customHeight="1">
      <c r="A29" s="19">
        <v>45533.0</v>
      </c>
      <c r="B29" s="21" t="s">
        <v>18</v>
      </c>
      <c r="C29" s="21" t="s">
        <v>33</v>
      </c>
      <c r="D29" s="3">
        <v>600.0</v>
      </c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2.5" customHeight="1">
      <c r="A30" s="19">
        <v>45533.0</v>
      </c>
      <c r="B30" s="21" t="s">
        <v>15</v>
      </c>
      <c r="C30" s="21" t="s">
        <v>33</v>
      </c>
      <c r="D30" s="3">
        <v>299.0</v>
      </c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2.5" customHeight="1">
      <c r="A31" s="19">
        <v>45566.0</v>
      </c>
      <c r="B31" s="21" t="s">
        <v>18</v>
      </c>
      <c r="C31" s="21" t="s">
        <v>33</v>
      </c>
      <c r="D31" s="3">
        <v>700.0</v>
      </c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2.5" customHeight="1">
      <c r="A32" s="19">
        <v>45594.0</v>
      </c>
      <c r="B32" s="21" t="s">
        <v>15</v>
      </c>
      <c r="C32" s="21" t="s">
        <v>33</v>
      </c>
      <c r="D32" s="3">
        <v>650.0</v>
      </c>
      <c r="E32" s="23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2.5" customHeight="1">
      <c r="A33" s="19">
        <v>45637.0</v>
      </c>
      <c r="B33" s="21" t="s">
        <v>15</v>
      </c>
      <c r="C33" s="21" t="s">
        <v>33</v>
      </c>
      <c r="D33" s="3">
        <v>325.0</v>
      </c>
      <c r="E33" s="23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2.5" customHeight="1">
      <c r="A34" s="19">
        <v>45637.0</v>
      </c>
      <c r="B34" s="21" t="s">
        <v>18</v>
      </c>
      <c r="C34" s="21" t="s">
        <v>33</v>
      </c>
      <c r="D34" s="3">
        <v>310.0</v>
      </c>
      <c r="E34" s="23"/>
      <c r="F34" s="43" t="s">
        <v>69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2.5" customHeight="1">
      <c r="A35" s="19">
        <v>45695.0</v>
      </c>
      <c r="B35" s="21" t="s">
        <v>15</v>
      </c>
      <c r="C35" s="21" t="s">
        <v>33</v>
      </c>
      <c r="D35" s="3">
        <v>336.0</v>
      </c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2.5" customHeight="1">
      <c r="A36" s="19">
        <v>45695.0</v>
      </c>
      <c r="B36" s="21" t="s">
        <v>18</v>
      </c>
      <c r="C36" s="21" t="s">
        <v>33</v>
      </c>
      <c r="D36" s="3">
        <v>300.0</v>
      </c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2.5" customHeight="1">
      <c r="A37" s="19">
        <v>45705.0</v>
      </c>
      <c r="B37" s="21" t="s">
        <v>18</v>
      </c>
      <c r="C37" s="21" t="s">
        <v>33</v>
      </c>
      <c r="D37" s="3">
        <v>200.0</v>
      </c>
      <c r="E37" s="23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2.5" customHeight="1">
      <c r="A38" s="19">
        <v>45705.0</v>
      </c>
      <c r="B38" s="21" t="s">
        <v>15</v>
      </c>
      <c r="C38" s="21" t="s">
        <v>33</v>
      </c>
      <c r="D38" s="3">
        <v>344.0</v>
      </c>
      <c r="E38" s="23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2.5" customHeight="1">
      <c r="A39" s="19">
        <v>45740.0</v>
      </c>
      <c r="B39" s="21" t="s">
        <v>18</v>
      </c>
      <c r="C39" s="21" t="s">
        <v>33</v>
      </c>
      <c r="D39" s="3">
        <v>1000.0</v>
      </c>
      <c r="E39" s="23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2.5" customHeight="1">
      <c r="A40" s="19">
        <v>45765.0</v>
      </c>
      <c r="B40" s="21" t="s">
        <v>15</v>
      </c>
      <c r="C40" s="21" t="s">
        <v>33</v>
      </c>
      <c r="D40" s="3">
        <v>300.0</v>
      </c>
      <c r="E40" s="23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2.5" customHeight="1">
      <c r="A41" s="19">
        <v>45898.0</v>
      </c>
      <c r="B41" s="21" t="s">
        <v>15</v>
      </c>
      <c r="C41" s="21" t="s">
        <v>33</v>
      </c>
      <c r="D41" s="3">
        <v>456.0</v>
      </c>
      <c r="E41" s="2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2.5" customHeight="1">
      <c r="A42" s="19">
        <v>45898.0</v>
      </c>
      <c r="B42" s="21" t="s">
        <v>18</v>
      </c>
      <c r="C42" s="21" t="s">
        <v>33</v>
      </c>
      <c r="D42" s="3">
        <v>37.0</v>
      </c>
      <c r="E42" s="23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2.5" customHeight="1">
      <c r="A43" s="19">
        <v>45923.0</v>
      </c>
      <c r="B43" s="21" t="s">
        <v>18</v>
      </c>
      <c r="C43" s="21" t="s">
        <v>33</v>
      </c>
      <c r="D43" s="3">
        <v>124.0</v>
      </c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2.5" customHeight="1">
      <c r="A44" s="19">
        <v>45987.0</v>
      </c>
      <c r="B44" s="21" t="s">
        <v>15</v>
      </c>
      <c r="C44" s="21" t="s">
        <v>33</v>
      </c>
      <c r="D44" s="3">
        <v>133.0</v>
      </c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2.5" customHeight="1">
      <c r="A45" s="19">
        <v>46007.0</v>
      </c>
      <c r="B45" s="21" t="s">
        <v>11</v>
      </c>
      <c r="C45" s="21" t="s">
        <v>33</v>
      </c>
      <c r="D45" s="3">
        <v>428.0</v>
      </c>
      <c r="E45" s="23">
        <v>35.95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2.5" customHeight="1">
      <c r="A46" s="19">
        <v>46007.0</v>
      </c>
      <c r="B46" s="21" t="s">
        <v>15</v>
      </c>
      <c r="C46" s="21" t="s">
        <v>33</v>
      </c>
      <c r="D46" s="3">
        <v>428.0</v>
      </c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22.5" customHeight="1">
      <c r="A47" s="27">
        <v>45351.0</v>
      </c>
      <c r="B47" s="29" t="s">
        <v>18</v>
      </c>
      <c r="C47" s="29" t="s">
        <v>36</v>
      </c>
      <c r="D47" s="30">
        <v>13.0</v>
      </c>
      <c r="E47" s="31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22.5" customHeight="1">
      <c r="A48" s="27">
        <v>45385.0</v>
      </c>
      <c r="B48" s="29" t="s">
        <v>18</v>
      </c>
      <c r="C48" s="29" t="s">
        <v>36</v>
      </c>
      <c r="D48" s="30">
        <v>100.0</v>
      </c>
      <c r="E48" s="31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22.5" customHeight="1">
      <c r="A49" s="46">
        <v>45395.0</v>
      </c>
      <c r="B49" s="29" t="s">
        <v>15</v>
      </c>
      <c r="C49" s="29" t="s">
        <v>36</v>
      </c>
      <c r="D49" s="30">
        <v>62.0</v>
      </c>
      <c r="E49" s="31"/>
    </row>
    <row r="50" ht="22.5" customHeight="1">
      <c r="A50" s="19">
        <v>45294.0</v>
      </c>
      <c r="B50" s="21" t="s">
        <v>18</v>
      </c>
      <c r="C50" s="21" t="s">
        <v>38</v>
      </c>
      <c r="D50" s="3">
        <v>39.0</v>
      </c>
      <c r="E50" s="23"/>
    </row>
    <row r="51" ht="22.5" customHeight="1">
      <c r="A51" s="19">
        <v>45951.0</v>
      </c>
      <c r="B51" s="21" t="s">
        <v>18</v>
      </c>
      <c r="C51" s="21" t="s">
        <v>38</v>
      </c>
      <c r="D51" s="3">
        <v>6.0</v>
      </c>
      <c r="E51" s="23"/>
    </row>
    <row r="52" ht="22.5" customHeight="1">
      <c r="A52" s="19">
        <v>45597.0</v>
      </c>
      <c r="B52" s="21" t="s">
        <v>18</v>
      </c>
      <c r="C52" s="21" t="s">
        <v>40</v>
      </c>
      <c r="D52" s="3">
        <v>60.0</v>
      </c>
      <c r="E52" s="23"/>
    </row>
    <row r="53" ht="22.5" customHeight="1">
      <c r="A53" s="19">
        <v>45608.0</v>
      </c>
      <c r="B53" s="21" t="s">
        <v>15</v>
      </c>
      <c r="C53" s="21" t="s">
        <v>40</v>
      </c>
      <c r="D53" s="3">
        <v>34.0</v>
      </c>
      <c r="E53" s="23"/>
    </row>
    <row r="54" ht="22.5" customHeight="1">
      <c r="A54" s="19">
        <v>45951.0</v>
      </c>
      <c r="B54" s="21" t="s">
        <v>15</v>
      </c>
      <c r="C54" s="21" t="s">
        <v>40</v>
      </c>
      <c r="D54" s="3">
        <v>7.0</v>
      </c>
      <c r="E54" s="23"/>
    </row>
    <row r="55" ht="22.5" customHeight="1">
      <c r="A55" s="27">
        <v>45223.0</v>
      </c>
      <c r="B55" s="29" t="s">
        <v>18</v>
      </c>
      <c r="C55" s="29" t="s">
        <v>44</v>
      </c>
      <c r="D55" s="30">
        <v>60.0</v>
      </c>
      <c r="E55" s="31"/>
    </row>
    <row r="56" ht="22.5" customHeight="1">
      <c r="A56" s="27">
        <v>45266.0</v>
      </c>
      <c r="B56" s="29" t="s">
        <v>15</v>
      </c>
      <c r="C56" s="29" t="s">
        <v>44</v>
      </c>
      <c r="D56" s="30">
        <v>50.0</v>
      </c>
      <c r="E56" s="31"/>
    </row>
    <row r="57" ht="22.5" customHeight="1">
      <c r="A57" s="27">
        <v>45369.0</v>
      </c>
      <c r="B57" s="29" t="s">
        <v>15</v>
      </c>
      <c r="C57" s="29" t="s">
        <v>44</v>
      </c>
      <c r="D57" s="30">
        <v>10.0</v>
      </c>
      <c r="E57" s="31"/>
    </row>
    <row r="58" ht="22.5" customHeight="1">
      <c r="A58" s="27">
        <v>45385.0</v>
      </c>
      <c r="B58" s="29" t="s">
        <v>18</v>
      </c>
      <c r="C58" s="29" t="s">
        <v>44</v>
      </c>
      <c r="D58" s="30">
        <v>76.0</v>
      </c>
      <c r="E58" s="31"/>
    </row>
    <row r="59" ht="22.5" customHeight="1">
      <c r="A59" s="27">
        <v>45407.0</v>
      </c>
      <c r="B59" s="29" t="s">
        <v>15</v>
      </c>
      <c r="C59" s="29" t="s">
        <v>44</v>
      </c>
      <c r="D59" s="30">
        <v>47.0</v>
      </c>
      <c r="E59" s="31"/>
    </row>
    <row r="60" ht="22.5" customHeight="1">
      <c r="A60" s="19">
        <v>45500.0</v>
      </c>
      <c r="B60" s="21" t="s">
        <v>15</v>
      </c>
      <c r="C60" s="21" t="s">
        <v>44</v>
      </c>
      <c r="D60" s="3">
        <v>24.0</v>
      </c>
      <c r="E60" s="23"/>
    </row>
    <row r="61" ht="22.5" customHeight="1">
      <c r="A61" s="19">
        <v>45579.0</v>
      </c>
      <c r="B61" s="21" t="s">
        <v>18</v>
      </c>
      <c r="C61" s="21" t="s">
        <v>44</v>
      </c>
      <c r="D61" s="3">
        <v>19.0</v>
      </c>
      <c r="E61" s="23"/>
    </row>
    <row r="62" ht="22.5" customHeight="1">
      <c r="A62" s="49">
        <v>45608.0</v>
      </c>
      <c r="B62" s="21" t="s">
        <v>18</v>
      </c>
      <c r="C62" s="21" t="s">
        <v>44</v>
      </c>
      <c r="D62" s="3">
        <v>69.0</v>
      </c>
      <c r="E62" s="23"/>
    </row>
    <row r="63" ht="22.5" customHeight="1">
      <c r="A63" s="19">
        <v>45608.0</v>
      </c>
      <c r="B63" s="21" t="s">
        <v>15</v>
      </c>
      <c r="C63" s="21" t="s">
        <v>44</v>
      </c>
      <c r="D63" s="3">
        <v>71.0</v>
      </c>
      <c r="E63" s="23"/>
    </row>
    <row r="64" ht="22.5" customHeight="1">
      <c r="A64" s="19">
        <v>45709.0</v>
      </c>
      <c r="B64" s="21" t="s">
        <v>15</v>
      </c>
      <c r="C64" s="21" t="s">
        <v>44</v>
      </c>
      <c r="D64" s="3">
        <v>22.0</v>
      </c>
      <c r="E64" s="23"/>
    </row>
    <row r="65" ht="22.5" customHeight="1">
      <c r="A65" s="19">
        <v>45776.0</v>
      </c>
      <c r="B65" s="21" t="s">
        <v>15</v>
      </c>
      <c r="C65" s="21" t="s">
        <v>44</v>
      </c>
      <c r="D65" s="3">
        <v>0.0</v>
      </c>
      <c r="E65" s="23"/>
    </row>
    <row r="66" ht="22.5" customHeight="1">
      <c r="A66" s="19">
        <v>45740.0</v>
      </c>
      <c r="B66" s="21" t="s">
        <v>18</v>
      </c>
      <c r="C66" s="21" t="s">
        <v>49</v>
      </c>
      <c r="D66" s="3">
        <v>75.0</v>
      </c>
      <c r="E66" s="23"/>
    </row>
    <row r="67" ht="22.5" customHeight="1">
      <c r="A67" s="19">
        <v>45740.0</v>
      </c>
      <c r="B67" s="21" t="s">
        <v>15</v>
      </c>
      <c r="C67" s="21" t="s">
        <v>49</v>
      </c>
      <c r="D67" s="3">
        <v>29.0</v>
      </c>
      <c r="E67" s="23"/>
    </row>
    <row r="68" ht="22.5" customHeight="1">
      <c r="A68" s="19">
        <v>45775.0</v>
      </c>
      <c r="B68" s="21" t="s">
        <v>18</v>
      </c>
      <c r="C68" s="21" t="s">
        <v>49</v>
      </c>
      <c r="D68" s="3">
        <v>45.0</v>
      </c>
      <c r="E68" s="23"/>
    </row>
    <row r="69" ht="22.5" customHeight="1">
      <c r="A69" s="19">
        <v>45796.0</v>
      </c>
      <c r="B69" s="21" t="s">
        <v>15</v>
      </c>
      <c r="C69" s="21" t="s">
        <v>49</v>
      </c>
      <c r="D69" s="3">
        <v>15.0</v>
      </c>
      <c r="E69" s="23"/>
    </row>
    <row r="70" ht="22.5" customHeight="1">
      <c r="A70" s="19">
        <v>45818.0</v>
      </c>
      <c r="B70" s="21" t="s">
        <v>15</v>
      </c>
      <c r="C70" s="21" t="s">
        <v>49</v>
      </c>
      <c r="D70" s="3">
        <v>44.0</v>
      </c>
      <c r="E70" s="23"/>
    </row>
    <row r="71" ht="22.5" customHeight="1">
      <c r="A71" s="19">
        <v>45923.0</v>
      </c>
      <c r="B71" s="21" t="s">
        <v>18</v>
      </c>
      <c r="C71" s="21" t="s">
        <v>49</v>
      </c>
      <c r="D71" s="3">
        <v>6.0</v>
      </c>
      <c r="E71" s="23"/>
    </row>
    <row r="72" ht="22.5" customHeight="1">
      <c r="A72" s="19">
        <v>45965.0</v>
      </c>
      <c r="B72" s="21" t="s">
        <v>15</v>
      </c>
      <c r="C72" s="21" t="s">
        <v>49</v>
      </c>
      <c r="D72" s="3">
        <v>13.0</v>
      </c>
      <c r="E72" s="23"/>
    </row>
    <row r="73" ht="22.5" customHeight="1">
      <c r="A73" s="19">
        <v>45411.0</v>
      </c>
      <c r="B73" s="21" t="s">
        <v>18</v>
      </c>
      <c r="C73" s="21" t="s">
        <v>52</v>
      </c>
      <c r="D73" s="3">
        <v>50.0</v>
      </c>
      <c r="E73" s="23"/>
    </row>
    <row r="74" ht="22.5" customHeight="1">
      <c r="A74" s="19">
        <v>45421.0</v>
      </c>
      <c r="B74" s="21" t="s">
        <v>15</v>
      </c>
      <c r="C74" s="21" t="s">
        <v>52</v>
      </c>
      <c r="D74" s="3">
        <v>24.0</v>
      </c>
      <c r="E74" s="23"/>
    </row>
    <row r="75" ht="22.5" customHeight="1">
      <c r="A75" s="19">
        <v>45898.0</v>
      </c>
      <c r="B75" s="21" t="s">
        <v>15</v>
      </c>
      <c r="C75" s="21" t="s">
        <v>52</v>
      </c>
      <c r="D75" s="3">
        <v>1.0</v>
      </c>
      <c r="E75" s="23"/>
    </row>
    <row r="76" ht="22.5" customHeight="1">
      <c r="A76" s="19">
        <v>45294.0</v>
      </c>
      <c r="B76" s="21" t="s">
        <v>18</v>
      </c>
      <c r="C76" s="21" t="s">
        <v>55</v>
      </c>
      <c r="D76" s="3">
        <v>9.0</v>
      </c>
      <c r="E76" s="23"/>
    </row>
    <row r="77" ht="22.5" customHeight="1">
      <c r="A77" s="27">
        <v>45340.0</v>
      </c>
      <c r="B77" s="29" t="s">
        <v>18</v>
      </c>
      <c r="C77" s="29" t="s">
        <v>58</v>
      </c>
      <c r="D77" s="30">
        <v>60.0</v>
      </c>
      <c r="E77" s="31"/>
    </row>
    <row r="78" ht="22.5" customHeight="1">
      <c r="A78" s="27">
        <v>45349.0</v>
      </c>
      <c r="B78" s="29" t="s">
        <v>15</v>
      </c>
      <c r="C78" s="29" t="s">
        <v>58</v>
      </c>
      <c r="D78" s="30">
        <v>60.0</v>
      </c>
      <c r="E78" s="31"/>
    </row>
    <row r="79" ht="22.5" customHeight="1">
      <c r="A79" s="19">
        <v>45469.0</v>
      </c>
      <c r="B79" s="21" t="s">
        <v>18</v>
      </c>
      <c r="C79" s="21" t="s">
        <v>58</v>
      </c>
      <c r="D79" s="3">
        <v>100.0</v>
      </c>
      <c r="E79" s="23"/>
    </row>
    <row r="80" ht="22.5" customHeight="1">
      <c r="A80" s="3" t="s">
        <v>145</v>
      </c>
      <c r="B80" s="21" t="s">
        <v>15</v>
      </c>
      <c r="C80" s="21" t="s">
        <v>58</v>
      </c>
      <c r="D80" s="3">
        <v>25.0</v>
      </c>
      <c r="E80" s="23"/>
    </row>
    <row r="81" ht="22.5" customHeight="1">
      <c r="A81" s="19">
        <v>45558.0</v>
      </c>
      <c r="B81" s="21" t="s">
        <v>15</v>
      </c>
      <c r="C81" s="21" t="s">
        <v>58</v>
      </c>
      <c r="D81" s="3">
        <v>27.0</v>
      </c>
      <c r="E81" s="23"/>
    </row>
    <row r="82" ht="22.5" customHeight="1">
      <c r="A82" s="19">
        <v>45560.0</v>
      </c>
      <c r="B82" s="21" t="s">
        <v>15</v>
      </c>
      <c r="C82" s="21" t="s">
        <v>58</v>
      </c>
      <c r="D82" s="3">
        <v>47.0</v>
      </c>
      <c r="E82" s="23"/>
    </row>
    <row r="83" ht="22.5" customHeight="1">
      <c r="A83" s="19">
        <v>45573.0</v>
      </c>
      <c r="B83" s="21" t="s">
        <v>15</v>
      </c>
      <c r="C83" s="21" t="s">
        <v>58</v>
      </c>
      <c r="D83" s="3">
        <v>1.0</v>
      </c>
      <c r="E83" s="23"/>
    </row>
    <row r="84" ht="22.5" customHeight="1">
      <c r="A84" s="19">
        <v>45695.0</v>
      </c>
      <c r="B84" s="21" t="s">
        <v>18</v>
      </c>
      <c r="C84" s="21" t="s">
        <v>58</v>
      </c>
      <c r="D84" s="3">
        <v>71.0</v>
      </c>
      <c r="E84" s="23"/>
    </row>
    <row r="85" ht="22.5" customHeight="1">
      <c r="A85" s="19">
        <v>45708.0</v>
      </c>
      <c r="B85" s="21" t="s">
        <v>15</v>
      </c>
      <c r="C85" s="21" t="s">
        <v>58</v>
      </c>
      <c r="D85" s="3">
        <v>30.0</v>
      </c>
      <c r="E85" s="23"/>
    </row>
    <row r="86" ht="22.5" customHeight="1">
      <c r="A86" s="19">
        <v>45898.0</v>
      </c>
      <c r="B86" s="21" t="s">
        <v>15</v>
      </c>
      <c r="C86" s="21" t="s">
        <v>58</v>
      </c>
      <c r="D86" s="3">
        <v>32.0</v>
      </c>
      <c r="E86" s="23"/>
    </row>
    <row r="87" ht="22.5" customHeight="1">
      <c r="A87" s="27">
        <v>45223.0</v>
      </c>
      <c r="B87" s="29" t="s">
        <v>18</v>
      </c>
      <c r="C87" s="29" t="s">
        <v>61</v>
      </c>
      <c r="D87" s="30">
        <v>84.0</v>
      </c>
      <c r="E87" s="31"/>
    </row>
    <row r="88" ht="22.5" customHeight="1">
      <c r="A88" s="27">
        <v>45231.0</v>
      </c>
      <c r="B88" s="29" t="s">
        <v>15</v>
      </c>
      <c r="C88" s="29" t="s">
        <v>61</v>
      </c>
      <c r="D88" s="30">
        <v>26.0</v>
      </c>
      <c r="E88" s="31"/>
    </row>
    <row r="89" ht="22.5" customHeight="1">
      <c r="A89" s="27">
        <v>45362.0</v>
      </c>
      <c r="B89" s="29" t="s">
        <v>18</v>
      </c>
      <c r="C89" s="29" t="s">
        <v>61</v>
      </c>
      <c r="D89" s="30">
        <v>60.0</v>
      </c>
      <c r="E89" s="31"/>
    </row>
    <row r="90" ht="22.5" customHeight="1">
      <c r="A90" s="27">
        <v>45371.0</v>
      </c>
      <c r="B90" s="29" t="s">
        <v>15</v>
      </c>
      <c r="C90" s="29" t="s">
        <v>61</v>
      </c>
      <c r="D90" s="30">
        <v>45.0</v>
      </c>
      <c r="E90" s="31"/>
    </row>
    <row r="91" ht="22.5" customHeight="1">
      <c r="A91" s="19">
        <v>45500.0</v>
      </c>
      <c r="B91" s="21" t="s">
        <v>15</v>
      </c>
      <c r="C91" s="21" t="s">
        <v>61</v>
      </c>
      <c r="D91" s="3">
        <v>33.0</v>
      </c>
      <c r="E91" s="23"/>
    </row>
    <row r="92" ht="22.5" customHeight="1">
      <c r="A92" s="19">
        <v>45579.0</v>
      </c>
      <c r="B92" s="21" t="s">
        <v>18</v>
      </c>
      <c r="C92" s="21" t="s">
        <v>61</v>
      </c>
      <c r="D92" s="3">
        <v>77.0</v>
      </c>
      <c r="E92" s="23"/>
    </row>
    <row r="93" ht="22.5" customHeight="1">
      <c r="A93" s="19">
        <v>45621.0</v>
      </c>
      <c r="B93" s="21" t="s">
        <v>15</v>
      </c>
      <c r="C93" s="21" t="s">
        <v>61</v>
      </c>
      <c r="D93" s="3">
        <v>38.0</v>
      </c>
      <c r="E93" s="23"/>
    </row>
    <row r="94" ht="22.5" customHeight="1">
      <c r="A94" s="19">
        <v>45686.0</v>
      </c>
      <c r="B94" s="21" t="s">
        <v>15</v>
      </c>
      <c r="C94" s="21" t="s">
        <v>61</v>
      </c>
      <c r="D94" s="3">
        <v>41.0</v>
      </c>
      <c r="E94" s="23"/>
    </row>
    <row r="95" ht="22.5" customHeight="1">
      <c r="A95" s="19">
        <v>45740.0</v>
      </c>
      <c r="B95" s="21" t="s">
        <v>18</v>
      </c>
      <c r="C95" s="21" t="s">
        <v>61</v>
      </c>
      <c r="D95" s="3">
        <v>75.0</v>
      </c>
      <c r="E95" s="23"/>
    </row>
    <row r="96" ht="22.5" customHeight="1">
      <c r="A96" s="19">
        <v>45796.0</v>
      </c>
      <c r="B96" s="21" t="s">
        <v>15</v>
      </c>
      <c r="C96" s="21" t="s">
        <v>61</v>
      </c>
      <c r="D96" s="3">
        <v>72.0</v>
      </c>
      <c r="E96" s="23"/>
    </row>
    <row r="97" ht="22.5" customHeight="1">
      <c r="A97" s="19">
        <v>45802.0</v>
      </c>
      <c r="B97" s="21" t="s">
        <v>18</v>
      </c>
      <c r="C97" s="21" t="s">
        <v>61</v>
      </c>
      <c r="D97" s="3">
        <v>30.0</v>
      </c>
      <c r="E97" s="23"/>
    </row>
    <row r="98" ht="22.5" customHeight="1">
      <c r="A98" s="19">
        <v>45848.0</v>
      </c>
      <c r="B98" s="21" t="s">
        <v>15</v>
      </c>
      <c r="C98" s="21" t="s">
        <v>61</v>
      </c>
      <c r="D98" s="3">
        <v>31.0</v>
      </c>
      <c r="E98" s="23"/>
    </row>
    <row r="99" ht="22.5" customHeight="1">
      <c r="A99" s="57">
        <v>45923.0</v>
      </c>
      <c r="B99" s="21" t="s">
        <v>18</v>
      </c>
      <c r="C99" s="21" t="s">
        <v>61</v>
      </c>
      <c r="D99" s="3">
        <v>30.0</v>
      </c>
      <c r="E99" s="23"/>
    </row>
    <row r="100" ht="22.5" customHeight="1">
      <c r="A100" s="19">
        <v>45923.0</v>
      </c>
      <c r="B100" s="21" t="s">
        <v>15</v>
      </c>
      <c r="C100" s="21" t="s">
        <v>61</v>
      </c>
      <c r="D100" s="3">
        <v>32.0</v>
      </c>
      <c r="E100" s="23"/>
    </row>
    <row r="101" ht="22.5" customHeight="1">
      <c r="A101" s="19">
        <v>46008.0</v>
      </c>
      <c r="B101" s="21" t="s">
        <v>18</v>
      </c>
      <c r="C101" s="21" t="s">
        <v>64</v>
      </c>
      <c r="D101" s="3">
        <v>13.0</v>
      </c>
      <c r="E101" s="23"/>
    </row>
    <row r="102" ht="22.5" customHeight="1">
      <c r="A102" s="27">
        <v>45223.0</v>
      </c>
      <c r="B102" s="29" t="s">
        <v>18</v>
      </c>
      <c r="C102" s="29" t="s">
        <v>66</v>
      </c>
      <c r="D102" s="30">
        <v>37.0</v>
      </c>
      <c r="E102" s="31"/>
    </row>
    <row r="103" ht="22.5" customHeight="1">
      <c r="A103" s="27">
        <v>45253.0</v>
      </c>
      <c r="B103" s="29" t="s">
        <v>18</v>
      </c>
      <c r="C103" s="29" t="s">
        <v>66</v>
      </c>
      <c r="D103" s="30">
        <v>163.0</v>
      </c>
      <c r="E103" s="31"/>
    </row>
    <row r="104" ht="22.5" customHeight="1">
      <c r="A104" s="27">
        <v>45262.0</v>
      </c>
      <c r="B104" s="29" t="s">
        <v>15</v>
      </c>
      <c r="C104" s="29" t="s">
        <v>66</v>
      </c>
      <c r="D104" s="30">
        <v>92.0</v>
      </c>
      <c r="E104" s="31"/>
    </row>
    <row r="105" ht="22.5" customHeight="1">
      <c r="A105" s="27">
        <v>45281.0</v>
      </c>
      <c r="B105" s="29" t="s">
        <v>18</v>
      </c>
      <c r="C105" s="29" t="s">
        <v>66</v>
      </c>
      <c r="D105" s="30">
        <v>60.0</v>
      </c>
      <c r="E105" s="31"/>
    </row>
    <row r="106" ht="22.5" customHeight="1">
      <c r="A106" s="27">
        <v>44938.0</v>
      </c>
      <c r="B106" s="29" t="s">
        <v>15</v>
      </c>
      <c r="C106" s="29" t="s">
        <v>66</v>
      </c>
      <c r="D106" s="30">
        <v>76.0</v>
      </c>
      <c r="E106" s="31"/>
    </row>
    <row r="107" ht="22.5" customHeight="1">
      <c r="A107" s="27">
        <v>45362.0</v>
      </c>
      <c r="B107" s="29" t="s">
        <v>18</v>
      </c>
      <c r="C107" s="29" t="s">
        <v>66</v>
      </c>
      <c r="D107" s="30">
        <v>40.0</v>
      </c>
      <c r="E107" s="31"/>
    </row>
    <row r="108" ht="22.5" customHeight="1">
      <c r="A108" s="27">
        <v>45366.0</v>
      </c>
      <c r="B108" s="29" t="s">
        <v>15</v>
      </c>
      <c r="C108" s="29" t="s">
        <v>66</v>
      </c>
      <c r="D108" s="30">
        <v>37.0</v>
      </c>
      <c r="E108" s="31"/>
    </row>
    <row r="109" ht="22.5" customHeight="1">
      <c r="A109" s="27">
        <v>45383.0</v>
      </c>
      <c r="B109" s="29" t="s">
        <v>15</v>
      </c>
      <c r="C109" s="29" t="s">
        <v>66</v>
      </c>
      <c r="D109" s="30">
        <v>45.0</v>
      </c>
      <c r="E109" s="31"/>
    </row>
    <row r="110" ht="22.5" customHeight="1">
      <c r="A110" s="27">
        <v>45385.0</v>
      </c>
      <c r="B110" s="29" t="s">
        <v>15</v>
      </c>
      <c r="C110" s="29" t="s">
        <v>66</v>
      </c>
      <c r="D110" s="30">
        <v>46.0</v>
      </c>
      <c r="E110" s="31"/>
    </row>
    <row r="111" ht="22.5" customHeight="1">
      <c r="A111" s="19">
        <v>45411.0</v>
      </c>
      <c r="B111" s="21" t="s">
        <v>18</v>
      </c>
      <c r="C111" s="21" t="s">
        <v>66</v>
      </c>
      <c r="D111" s="3">
        <v>130.0</v>
      </c>
      <c r="E111" s="23"/>
    </row>
    <row r="112" ht="22.5" customHeight="1">
      <c r="A112" s="19">
        <v>45418.0</v>
      </c>
      <c r="B112" s="21" t="s">
        <v>15</v>
      </c>
      <c r="C112" s="21" t="s">
        <v>66</v>
      </c>
      <c r="D112" s="3">
        <v>45.0</v>
      </c>
      <c r="E112" s="23"/>
    </row>
    <row r="113" ht="22.5" customHeight="1">
      <c r="A113" s="19">
        <v>45456.0</v>
      </c>
      <c r="B113" s="21" t="s">
        <v>18</v>
      </c>
      <c r="C113" s="21" t="s">
        <v>66</v>
      </c>
      <c r="D113" s="3">
        <v>50.0</v>
      </c>
      <c r="E113" s="23"/>
    </row>
    <row r="114" ht="22.5" customHeight="1">
      <c r="A114" s="19">
        <v>45481.0</v>
      </c>
      <c r="B114" s="21" t="s">
        <v>15</v>
      </c>
      <c r="C114" s="21" t="s">
        <v>66</v>
      </c>
      <c r="D114" s="3">
        <v>71.0</v>
      </c>
      <c r="E114" s="23"/>
    </row>
    <row r="115" ht="22.5" customHeight="1">
      <c r="A115" s="19">
        <v>45538.0</v>
      </c>
      <c r="B115" s="21" t="s">
        <v>18</v>
      </c>
      <c r="C115" s="21" t="s">
        <v>66</v>
      </c>
      <c r="D115" s="3">
        <v>30.0</v>
      </c>
      <c r="E115" s="23"/>
    </row>
    <row r="116" ht="22.5" customHeight="1">
      <c r="A116" s="19">
        <v>45539.0</v>
      </c>
      <c r="B116" s="21" t="s">
        <v>15</v>
      </c>
      <c r="C116" s="21" t="s">
        <v>66</v>
      </c>
      <c r="D116" s="3">
        <v>106.0</v>
      </c>
      <c r="E116" s="23"/>
    </row>
    <row r="117" ht="22.5" customHeight="1">
      <c r="A117" s="19">
        <v>45579.0</v>
      </c>
      <c r="B117" s="21" t="s">
        <v>18</v>
      </c>
      <c r="C117" s="21" t="s">
        <v>66</v>
      </c>
      <c r="D117" s="3">
        <v>23.0</v>
      </c>
      <c r="E117" s="23"/>
    </row>
    <row r="118" ht="22.5" customHeight="1">
      <c r="A118" s="19">
        <v>45597.0</v>
      </c>
      <c r="B118" s="21" t="s">
        <v>18</v>
      </c>
      <c r="C118" s="21" t="s">
        <v>66</v>
      </c>
      <c r="D118" s="3">
        <v>70.0</v>
      </c>
      <c r="E118" s="23"/>
    </row>
    <row r="119" ht="22.5" customHeight="1">
      <c r="A119" s="19">
        <v>45609.0</v>
      </c>
      <c r="B119" s="21" t="s">
        <v>18</v>
      </c>
      <c r="C119" s="21" t="s">
        <v>66</v>
      </c>
      <c r="D119" s="3">
        <v>50.0</v>
      </c>
      <c r="E119" s="23"/>
    </row>
    <row r="120" ht="22.5" customHeight="1">
      <c r="A120" s="19">
        <v>45621.0</v>
      </c>
      <c r="B120" s="21" t="s">
        <v>18</v>
      </c>
      <c r="C120" s="21" t="s">
        <v>66</v>
      </c>
      <c r="D120" s="3">
        <v>100.0</v>
      </c>
      <c r="E120" s="23"/>
    </row>
    <row r="121" ht="22.5" customHeight="1">
      <c r="A121" s="19">
        <v>45624.0</v>
      </c>
      <c r="B121" s="21" t="s">
        <v>15</v>
      </c>
      <c r="C121" s="21" t="s">
        <v>66</v>
      </c>
      <c r="D121" s="3">
        <v>90.0</v>
      </c>
      <c r="E121" s="23"/>
    </row>
    <row r="122" ht="22.5" customHeight="1">
      <c r="A122" s="19">
        <v>45294.0</v>
      </c>
      <c r="B122" s="21" t="s">
        <v>18</v>
      </c>
      <c r="C122" s="21" t="s">
        <v>66</v>
      </c>
      <c r="D122" s="3">
        <v>172.0</v>
      </c>
      <c r="E122" s="23"/>
    </row>
    <row r="123" ht="22.5" customHeight="1">
      <c r="A123" s="19">
        <v>45681.0</v>
      </c>
      <c r="B123" s="21" t="s">
        <v>15</v>
      </c>
      <c r="C123" s="21" t="s">
        <v>66</v>
      </c>
      <c r="D123" s="3">
        <v>110.0</v>
      </c>
      <c r="E123" s="23"/>
    </row>
    <row r="124" ht="22.5" customHeight="1">
      <c r="A124" s="19">
        <v>45688.0</v>
      </c>
      <c r="B124" s="21" t="s">
        <v>15</v>
      </c>
      <c r="C124" s="21" t="s">
        <v>66</v>
      </c>
      <c r="D124" s="3">
        <v>120.0</v>
      </c>
      <c r="E124" s="23"/>
    </row>
    <row r="125" ht="22.5" customHeight="1">
      <c r="A125" s="19">
        <v>45695.0</v>
      </c>
      <c r="B125" s="21" t="s">
        <v>15</v>
      </c>
      <c r="C125" s="21" t="s">
        <v>66</v>
      </c>
      <c r="D125" s="3">
        <v>87.0</v>
      </c>
      <c r="E125" s="23"/>
    </row>
    <row r="126" ht="22.5" customHeight="1">
      <c r="A126" s="19">
        <v>45740.0</v>
      </c>
      <c r="B126" s="21" t="s">
        <v>18</v>
      </c>
      <c r="C126" s="21" t="s">
        <v>66</v>
      </c>
      <c r="D126" s="3">
        <v>100.0</v>
      </c>
      <c r="E126" s="23"/>
    </row>
    <row r="127" ht="22.5" customHeight="1">
      <c r="A127" s="19">
        <v>45740.0</v>
      </c>
      <c r="B127" s="21" t="s">
        <v>15</v>
      </c>
      <c r="C127" s="21" t="s">
        <v>66</v>
      </c>
      <c r="D127" s="3">
        <v>70.0</v>
      </c>
      <c r="E127" s="23"/>
    </row>
    <row r="128" ht="22.5" customHeight="1">
      <c r="A128" s="19">
        <v>45762.0</v>
      </c>
      <c r="B128" s="21" t="s">
        <v>18</v>
      </c>
      <c r="C128" s="21" t="s">
        <v>66</v>
      </c>
      <c r="D128" s="3">
        <v>150.0</v>
      </c>
      <c r="E128" s="23"/>
      <c r="Z128" s="20" t="s">
        <v>186</v>
      </c>
    </row>
    <row r="129" ht="22.5" customHeight="1">
      <c r="A129" s="19">
        <v>45768.0</v>
      </c>
      <c r="B129" s="21" t="s">
        <v>15</v>
      </c>
      <c r="C129" s="21" t="s">
        <v>66</v>
      </c>
      <c r="D129" s="3">
        <v>132.0</v>
      </c>
      <c r="E129" s="23"/>
    </row>
    <row r="130" ht="22.5" customHeight="1">
      <c r="A130" s="19">
        <v>45803.0</v>
      </c>
      <c r="B130" s="21" t="s">
        <v>18</v>
      </c>
      <c r="C130" s="21" t="s">
        <v>66</v>
      </c>
      <c r="D130" s="3">
        <v>60.0</v>
      </c>
      <c r="E130" s="23"/>
    </row>
    <row r="131" ht="22.5" customHeight="1">
      <c r="A131" s="19">
        <v>45811.0</v>
      </c>
      <c r="B131" s="21" t="s">
        <v>15</v>
      </c>
      <c r="C131" s="21" t="s">
        <v>66</v>
      </c>
      <c r="D131" s="3">
        <v>78.0</v>
      </c>
      <c r="E131" s="23"/>
    </row>
    <row r="132" ht="22.5" customHeight="1">
      <c r="A132" s="19">
        <v>45833.0</v>
      </c>
      <c r="B132" s="21" t="s">
        <v>18</v>
      </c>
      <c r="C132" s="21" t="s">
        <v>66</v>
      </c>
      <c r="D132" s="3">
        <v>100.0</v>
      </c>
      <c r="E132" s="23"/>
    </row>
    <row r="133" ht="22.5" customHeight="1">
      <c r="A133" s="19">
        <v>45890.0</v>
      </c>
      <c r="B133" s="21" t="s">
        <v>18</v>
      </c>
      <c r="C133" s="21" t="s">
        <v>66</v>
      </c>
      <c r="D133" s="3">
        <v>250.0</v>
      </c>
      <c r="E133" s="23"/>
    </row>
    <row r="134" ht="22.5" customHeight="1">
      <c r="A134" s="19">
        <v>45890.0</v>
      </c>
      <c r="B134" s="21" t="s">
        <v>18</v>
      </c>
      <c r="C134" s="21" t="s">
        <v>66</v>
      </c>
      <c r="D134" s="3">
        <v>15.0</v>
      </c>
      <c r="E134" s="23"/>
    </row>
    <row r="135" ht="22.5" customHeight="1">
      <c r="A135" s="19">
        <v>45903.0</v>
      </c>
      <c r="B135" s="21" t="s">
        <v>15</v>
      </c>
      <c r="C135" s="21" t="s">
        <v>66</v>
      </c>
      <c r="D135" s="3">
        <v>398.0</v>
      </c>
      <c r="E135" s="23"/>
    </row>
    <row r="136" ht="22.5" customHeight="1">
      <c r="A136" s="19">
        <v>45923.0</v>
      </c>
      <c r="B136" s="21" t="s">
        <v>18</v>
      </c>
      <c r="C136" s="21" t="s">
        <v>66</v>
      </c>
      <c r="D136" s="3">
        <v>227.0</v>
      </c>
      <c r="E136" s="23"/>
    </row>
    <row r="137" ht="22.5" customHeight="1">
      <c r="A137" s="27">
        <v>45223.0</v>
      </c>
      <c r="B137" s="29" t="s">
        <v>18</v>
      </c>
      <c r="C137" s="29" t="s">
        <v>70</v>
      </c>
      <c r="D137" s="30">
        <v>25.0</v>
      </c>
      <c r="E137" s="31"/>
    </row>
    <row r="138" ht="22.5" customHeight="1">
      <c r="A138" s="27">
        <v>45362.0</v>
      </c>
      <c r="B138" s="29" t="s">
        <v>18</v>
      </c>
      <c r="C138" s="29" t="s">
        <v>70</v>
      </c>
      <c r="D138" s="30">
        <v>40.0</v>
      </c>
      <c r="E138" s="31"/>
    </row>
    <row r="139" ht="22.5" customHeight="1">
      <c r="A139" s="27">
        <v>45370.0</v>
      </c>
      <c r="B139" s="29" t="s">
        <v>15</v>
      </c>
      <c r="C139" s="29" t="s">
        <v>70</v>
      </c>
      <c r="D139" s="30">
        <v>45.0</v>
      </c>
      <c r="E139" s="31"/>
    </row>
    <row r="140" ht="22.5" customHeight="1">
      <c r="A140" s="27">
        <v>45386.0</v>
      </c>
      <c r="B140" s="29" t="s">
        <v>18</v>
      </c>
      <c r="C140" s="29" t="s">
        <v>70</v>
      </c>
      <c r="D140" s="30">
        <v>120.0</v>
      </c>
      <c r="E140" s="31"/>
    </row>
    <row r="141" ht="22.5" customHeight="1">
      <c r="A141" s="19">
        <v>45418.0</v>
      </c>
      <c r="B141" s="21" t="s">
        <v>15</v>
      </c>
      <c r="C141" s="21" t="s">
        <v>70</v>
      </c>
      <c r="D141" s="3">
        <v>38.0</v>
      </c>
      <c r="E141" s="23"/>
    </row>
    <row r="142" ht="22.5" customHeight="1">
      <c r="A142" s="19">
        <v>45579.0</v>
      </c>
      <c r="B142" s="21" t="s">
        <v>15</v>
      </c>
      <c r="C142" s="21" t="s">
        <v>70</v>
      </c>
      <c r="D142" s="3">
        <v>31.0</v>
      </c>
      <c r="E142" s="23"/>
    </row>
    <row r="143" ht="22.5" customHeight="1">
      <c r="A143" s="19">
        <v>45775.0</v>
      </c>
      <c r="B143" s="21" t="s">
        <v>18</v>
      </c>
      <c r="C143" s="21" t="s">
        <v>70</v>
      </c>
      <c r="D143" s="3">
        <v>58.0</v>
      </c>
      <c r="E143" s="23"/>
    </row>
    <row r="144" ht="22.5" customHeight="1">
      <c r="A144" s="19">
        <v>45780.0</v>
      </c>
      <c r="B144" s="21" t="s">
        <v>15</v>
      </c>
      <c r="C144" s="21" t="s">
        <v>70</v>
      </c>
      <c r="D144" s="3">
        <v>31.0</v>
      </c>
      <c r="E144" s="23"/>
    </row>
    <row r="145" ht="22.5" customHeight="1">
      <c r="A145" s="19">
        <v>45811.0</v>
      </c>
      <c r="B145" s="21" t="s">
        <v>15</v>
      </c>
      <c r="C145" s="21" t="s">
        <v>70</v>
      </c>
      <c r="D145" s="3">
        <v>98.0</v>
      </c>
      <c r="E145" s="23"/>
    </row>
    <row r="146" ht="22.5" customHeight="1">
      <c r="A146" s="19">
        <v>45841.0</v>
      </c>
      <c r="B146" s="21" t="s">
        <v>18</v>
      </c>
      <c r="C146" s="21" t="s">
        <v>70</v>
      </c>
      <c r="D146" s="3">
        <v>44.0</v>
      </c>
      <c r="E146" s="23"/>
    </row>
    <row r="147" ht="22.5" customHeight="1">
      <c r="A147" s="19">
        <v>45951.0</v>
      </c>
      <c r="B147" s="21" t="s">
        <v>15</v>
      </c>
      <c r="C147" s="59" t="s">
        <v>70</v>
      </c>
      <c r="D147" s="3">
        <v>33.0</v>
      </c>
      <c r="E147" s="23"/>
    </row>
    <row r="148" ht="22.5" customHeight="1">
      <c r="A148" s="27">
        <v>45243.0</v>
      </c>
      <c r="B148" s="29" t="s">
        <v>18</v>
      </c>
      <c r="C148" s="29" t="s">
        <v>73</v>
      </c>
      <c r="D148" s="30">
        <v>39.0</v>
      </c>
      <c r="E148" s="31"/>
    </row>
    <row r="149" ht="22.5" customHeight="1">
      <c r="A149" s="19">
        <v>45579.0</v>
      </c>
      <c r="B149" s="21" t="s">
        <v>18</v>
      </c>
      <c r="C149" s="21" t="s">
        <v>73</v>
      </c>
      <c r="D149" s="3">
        <v>7.0</v>
      </c>
      <c r="E149" s="23"/>
    </row>
    <row r="150" ht="22.5" customHeight="1">
      <c r="A150" s="19">
        <v>45889.0</v>
      </c>
      <c r="B150" s="21" t="s">
        <v>15</v>
      </c>
      <c r="C150" s="21" t="s">
        <v>73</v>
      </c>
      <c r="D150" s="3">
        <v>42.0</v>
      </c>
      <c r="E150" s="23"/>
    </row>
    <row r="151" ht="22.5" customHeight="1">
      <c r="A151" s="19">
        <v>45898.0</v>
      </c>
      <c r="B151" s="21" t="s">
        <v>15</v>
      </c>
      <c r="C151" s="21" t="s">
        <v>73</v>
      </c>
      <c r="D151" s="3">
        <v>2.0</v>
      </c>
      <c r="E151" s="23"/>
    </row>
    <row r="152" ht="22.5" customHeight="1">
      <c r="A152" s="19">
        <v>45978.0</v>
      </c>
      <c r="B152" s="21" t="s">
        <v>15</v>
      </c>
      <c r="C152" s="21" t="s">
        <v>73</v>
      </c>
      <c r="D152" s="3">
        <v>2.0</v>
      </c>
      <c r="E152" s="23"/>
    </row>
    <row r="153" ht="22.5" customHeight="1">
      <c r="A153" s="27">
        <v>45348.0</v>
      </c>
      <c r="B153" s="29" t="s">
        <v>18</v>
      </c>
      <c r="C153" s="29" t="s">
        <v>76</v>
      </c>
      <c r="D153" s="30">
        <v>32.0</v>
      </c>
      <c r="E153" s="31"/>
    </row>
    <row r="154" ht="22.5" customHeight="1">
      <c r="A154" s="27">
        <v>45355.0</v>
      </c>
      <c r="B154" s="29" t="s">
        <v>18</v>
      </c>
      <c r="C154" s="29" t="s">
        <v>76</v>
      </c>
      <c r="D154" s="30">
        <v>40.0</v>
      </c>
      <c r="E154" s="31"/>
    </row>
    <row r="155" ht="22.5" customHeight="1">
      <c r="A155" s="27">
        <v>45356.0</v>
      </c>
      <c r="B155" s="29" t="s">
        <v>15</v>
      </c>
      <c r="C155" s="29" t="s">
        <v>76</v>
      </c>
      <c r="D155" s="30">
        <v>21.0</v>
      </c>
      <c r="E155" s="31"/>
    </row>
    <row r="156" ht="22.5" customHeight="1">
      <c r="A156" s="27">
        <v>45243.0</v>
      </c>
      <c r="B156" s="29" t="s">
        <v>18</v>
      </c>
      <c r="C156" s="29" t="s">
        <v>80</v>
      </c>
      <c r="D156" s="30">
        <v>70.0</v>
      </c>
      <c r="E156" s="31"/>
    </row>
    <row r="157" ht="22.5" customHeight="1">
      <c r="A157" s="27">
        <v>45243.0</v>
      </c>
      <c r="B157" s="29" t="s">
        <v>15</v>
      </c>
      <c r="C157" s="29" t="s">
        <v>80</v>
      </c>
      <c r="D157" s="30">
        <v>14.0</v>
      </c>
      <c r="E157" s="31"/>
    </row>
    <row r="158" ht="22.5" customHeight="1">
      <c r="A158" s="27">
        <v>45341.0</v>
      </c>
      <c r="B158" s="29" t="s">
        <v>18</v>
      </c>
      <c r="C158" s="29" t="s">
        <v>80</v>
      </c>
      <c r="D158" s="30">
        <v>20.0</v>
      </c>
      <c r="E158" s="31"/>
    </row>
    <row r="159" ht="22.5" customHeight="1">
      <c r="A159" s="27">
        <v>45342.0</v>
      </c>
      <c r="B159" s="29" t="s">
        <v>15</v>
      </c>
      <c r="C159" s="29" t="s">
        <v>80</v>
      </c>
      <c r="D159" s="30">
        <v>23.0</v>
      </c>
      <c r="E159" s="31"/>
    </row>
    <row r="160" ht="22.5" customHeight="1">
      <c r="A160" s="19">
        <v>45469.0</v>
      </c>
      <c r="B160" s="21" t="s">
        <v>18</v>
      </c>
      <c r="C160" s="21" t="s">
        <v>80</v>
      </c>
      <c r="D160" s="3">
        <v>57.0</v>
      </c>
      <c r="E160" s="23"/>
    </row>
    <row r="161" ht="22.5" customHeight="1">
      <c r="A161" s="19">
        <v>45560.0</v>
      </c>
      <c r="B161" s="21" t="s">
        <v>18</v>
      </c>
      <c r="C161" s="21" t="s">
        <v>80</v>
      </c>
      <c r="D161" s="3">
        <v>40.0</v>
      </c>
      <c r="E161" s="23"/>
    </row>
    <row r="162" ht="22.5" customHeight="1">
      <c r="A162" s="19">
        <v>45560.0</v>
      </c>
      <c r="B162" s="21" t="s">
        <v>15</v>
      </c>
      <c r="C162" s="21" t="s">
        <v>80</v>
      </c>
      <c r="D162" s="3">
        <v>99.0</v>
      </c>
      <c r="E162" s="23"/>
    </row>
    <row r="163" ht="22.5" customHeight="1">
      <c r="A163" s="19">
        <v>45579.0</v>
      </c>
      <c r="B163" s="21" t="s">
        <v>18</v>
      </c>
      <c r="C163" s="21" t="s">
        <v>80</v>
      </c>
      <c r="D163" s="3">
        <v>47.0</v>
      </c>
      <c r="E163" s="23"/>
    </row>
    <row r="164" ht="22.5" customHeight="1">
      <c r="A164" s="19">
        <v>45678.0</v>
      </c>
      <c r="B164" s="21" t="s">
        <v>15</v>
      </c>
      <c r="C164" s="21" t="s">
        <v>80</v>
      </c>
      <c r="D164" s="3">
        <v>59.0</v>
      </c>
      <c r="E164" s="23"/>
    </row>
    <row r="165" ht="22.5" customHeight="1">
      <c r="A165" s="19">
        <v>45775.0</v>
      </c>
      <c r="B165" s="21" t="s">
        <v>18</v>
      </c>
      <c r="C165" s="21" t="s">
        <v>80</v>
      </c>
      <c r="D165" s="3">
        <v>60.0</v>
      </c>
      <c r="E165" s="23"/>
    </row>
    <row r="166" ht="22.5" customHeight="1">
      <c r="A166" s="19">
        <v>45796.0</v>
      </c>
      <c r="B166" s="21" t="s">
        <v>15</v>
      </c>
      <c r="C166" s="21" t="s">
        <v>80</v>
      </c>
      <c r="D166" s="3">
        <v>39.0</v>
      </c>
      <c r="E166" s="23"/>
    </row>
    <row r="167" ht="22.5" customHeight="1">
      <c r="A167" s="19">
        <v>45804.0</v>
      </c>
      <c r="B167" s="21" t="s">
        <v>15</v>
      </c>
      <c r="C167" s="21" t="s">
        <v>80</v>
      </c>
      <c r="D167" s="3">
        <v>23.0</v>
      </c>
      <c r="E167" s="23"/>
    </row>
    <row r="168" ht="22.5" customHeight="1">
      <c r="A168" s="19">
        <v>45898.0</v>
      </c>
      <c r="B168" s="21" t="s">
        <v>15</v>
      </c>
      <c r="C168" s="21" t="s">
        <v>80</v>
      </c>
      <c r="D168" s="3">
        <v>12.0</v>
      </c>
      <c r="E168" s="23"/>
    </row>
    <row r="169" ht="22.5" customHeight="1">
      <c r="A169" s="19">
        <v>45945.0</v>
      </c>
      <c r="B169" s="21" t="s">
        <v>15</v>
      </c>
      <c r="C169" s="21" t="s">
        <v>80</v>
      </c>
      <c r="D169" s="3">
        <v>4.0</v>
      </c>
      <c r="E169" s="23"/>
    </row>
    <row r="170" ht="22.5" customHeight="1">
      <c r="A170" s="19">
        <v>45985.0</v>
      </c>
      <c r="B170" s="21" t="s">
        <v>18</v>
      </c>
      <c r="C170" s="21" t="s">
        <v>83</v>
      </c>
      <c r="D170" s="3">
        <v>16.0</v>
      </c>
      <c r="E170" s="23"/>
    </row>
    <row r="171" ht="22.5" customHeight="1">
      <c r="A171" s="46">
        <v>45395.0</v>
      </c>
      <c r="B171" s="29" t="s">
        <v>18</v>
      </c>
      <c r="C171" s="29" t="s">
        <v>85</v>
      </c>
      <c r="D171" s="30">
        <v>150.0</v>
      </c>
      <c r="E171" s="31"/>
    </row>
    <row r="172" ht="22.5" customHeight="1">
      <c r="A172" s="46">
        <v>45395.0</v>
      </c>
      <c r="B172" s="29" t="s">
        <v>15</v>
      </c>
      <c r="C172" s="29" t="s">
        <v>85</v>
      </c>
      <c r="D172" s="30">
        <v>150.0</v>
      </c>
      <c r="E172" s="31"/>
    </row>
    <row r="173" ht="22.5" customHeight="1">
      <c r="A173" s="19">
        <v>45500.0</v>
      </c>
      <c r="B173" s="21" t="s">
        <v>18</v>
      </c>
      <c r="C173" s="21" t="s">
        <v>85</v>
      </c>
      <c r="D173" s="3">
        <v>200.0</v>
      </c>
      <c r="E173" s="23"/>
    </row>
    <row r="174" ht="22.5" customHeight="1">
      <c r="A174" s="19">
        <v>45526.0</v>
      </c>
      <c r="B174" s="21" t="s">
        <v>15</v>
      </c>
      <c r="C174" s="21" t="s">
        <v>85</v>
      </c>
      <c r="D174" s="3">
        <v>136.0</v>
      </c>
      <c r="E174" s="23"/>
    </row>
    <row r="175" ht="22.5" customHeight="1">
      <c r="A175" s="19">
        <v>45951.0</v>
      </c>
      <c r="B175" s="21" t="s">
        <v>18</v>
      </c>
      <c r="C175" s="21" t="s">
        <v>88</v>
      </c>
      <c r="D175" s="3">
        <v>60.0</v>
      </c>
      <c r="E175" s="23"/>
    </row>
    <row r="176" ht="22.5" customHeight="1">
      <c r="A176" s="49">
        <v>45579.0</v>
      </c>
      <c r="B176" s="21" t="s">
        <v>18</v>
      </c>
      <c r="C176" s="21" t="s">
        <v>90</v>
      </c>
      <c r="D176" s="3">
        <v>150.0</v>
      </c>
      <c r="E176" s="23"/>
    </row>
    <row r="177" ht="22.5" customHeight="1">
      <c r="A177" s="19">
        <v>45604.0</v>
      </c>
      <c r="B177" s="21" t="s">
        <v>15</v>
      </c>
      <c r="C177" s="21" t="s">
        <v>90</v>
      </c>
      <c r="D177" s="3">
        <v>48.0</v>
      </c>
      <c r="E177" s="23"/>
    </row>
    <row r="178" ht="22.5" customHeight="1">
      <c r="A178" s="19">
        <v>45663.0</v>
      </c>
      <c r="B178" s="21" t="s">
        <v>15</v>
      </c>
      <c r="C178" s="21" t="s">
        <v>90</v>
      </c>
      <c r="D178" s="3">
        <v>76.0</v>
      </c>
      <c r="E178" s="23"/>
    </row>
    <row r="179" ht="22.5" customHeight="1">
      <c r="A179" s="19">
        <v>45673.0</v>
      </c>
      <c r="B179" s="21" t="s">
        <v>18</v>
      </c>
      <c r="C179" s="21" t="s">
        <v>90</v>
      </c>
      <c r="D179" s="3">
        <v>60.0</v>
      </c>
      <c r="E179" s="23"/>
    </row>
    <row r="180" ht="22.5" customHeight="1">
      <c r="A180" s="19">
        <v>45713.0</v>
      </c>
      <c r="B180" s="21" t="s">
        <v>15</v>
      </c>
      <c r="C180" s="21" t="s">
        <v>90</v>
      </c>
      <c r="D180" s="3">
        <v>27.0</v>
      </c>
      <c r="E180" s="23"/>
    </row>
    <row r="181" ht="22.5" customHeight="1">
      <c r="A181" s="19">
        <v>45806.0</v>
      </c>
      <c r="B181" s="21" t="s">
        <v>18</v>
      </c>
      <c r="C181" s="21" t="s">
        <v>93</v>
      </c>
      <c r="D181" s="3">
        <v>100.0</v>
      </c>
      <c r="E181" s="23"/>
    </row>
    <row r="182" ht="22.5" customHeight="1">
      <c r="A182" s="19">
        <v>45806.0</v>
      </c>
      <c r="B182" s="21" t="s">
        <v>15</v>
      </c>
      <c r="C182" s="21" t="s">
        <v>93</v>
      </c>
      <c r="D182" s="3">
        <v>70.0</v>
      </c>
      <c r="E182" s="23"/>
    </row>
    <row r="183" ht="22.5" customHeight="1">
      <c r="A183" s="19">
        <v>45887.0</v>
      </c>
      <c r="B183" s="21" t="s">
        <v>18</v>
      </c>
      <c r="C183" s="21" t="s">
        <v>93</v>
      </c>
      <c r="D183" s="3">
        <v>200.0</v>
      </c>
      <c r="E183" s="23"/>
    </row>
    <row r="184" ht="22.5" customHeight="1">
      <c r="A184" s="19">
        <v>45887.0</v>
      </c>
      <c r="B184" s="21" t="s">
        <v>18</v>
      </c>
      <c r="C184" s="21" t="s">
        <v>93</v>
      </c>
      <c r="D184" s="3">
        <v>32.0</v>
      </c>
      <c r="E184" s="23"/>
    </row>
    <row r="185" ht="22.5" customHeight="1">
      <c r="A185" s="19">
        <v>45898.0</v>
      </c>
      <c r="B185" s="21" t="s">
        <v>15</v>
      </c>
      <c r="C185" s="21" t="s">
        <v>93</v>
      </c>
      <c r="D185" s="3">
        <v>61.0</v>
      </c>
      <c r="E185" s="23"/>
    </row>
    <row r="186" ht="22.5" customHeight="1">
      <c r="A186" s="19">
        <v>45898.0</v>
      </c>
      <c r="B186" s="21" t="s">
        <v>18</v>
      </c>
      <c r="C186" s="21" t="s">
        <v>93</v>
      </c>
      <c r="D186" s="3">
        <v>11.0</v>
      </c>
      <c r="E186" s="23"/>
    </row>
    <row r="187" ht="22.5" customHeight="1">
      <c r="A187" s="19">
        <v>45911.0</v>
      </c>
      <c r="B187" s="21" t="s">
        <v>15</v>
      </c>
      <c r="C187" s="21" t="s">
        <v>93</v>
      </c>
      <c r="D187" s="3">
        <v>64.0</v>
      </c>
      <c r="E187" s="23"/>
    </row>
    <row r="188" ht="22.5" customHeight="1">
      <c r="A188" s="19">
        <v>45929.0</v>
      </c>
      <c r="B188" s="21" t="s">
        <v>15</v>
      </c>
      <c r="C188" s="21" t="s">
        <v>93</v>
      </c>
      <c r="D188" s="3">
        <v>129.0</v>
      </c>
      <c r="E188" s="23"/>
    </row>
    <row r="189" ht="22.5" customHeight="1">
      <c r="A189" s="19">
        <v>45931.0</v>
      </c>
      <c r="B189" s="21" t="s">
        <v>18</v>
      </c>
      <c r="C189" s="21" t="s">
        <v>93</v>
      </c>
      <c r="D189" s="3">
        <v>23.0</v>
      </c>
      <c r="E189" s="23"/>
    </row>
    <row r="190" ht="22.5" customHeight="1">
      <c r="A190" s="19">
        <v>45931.0</v>
      </c>
      <c r="B190" s="21" t="s">
        <v>18</v>
      </c>
      <c r="C190" s="21" t="s">
        <v>93</v>
      </c>
      <c r="D190" s="3">
        <v>67.0</v>
      </c>
      <c r="E190" s="23"/>
    </row>
    <row r="191" ht="22.5" customHeight="1">
      <c r="A191" s="19">
        <v>45945.0</v>
      </c>
      <c r="B191" s="21" t="s">
        <v>18</v>
      </c>
      <c r="C191" s="21" t="s">
        <v>93</v>
      </c>
      <c r="D191" s="3">
        <v>67.0</v>
      </c>
      <c r="E191" s="23"/>
    </row>
    <row r="192" ht="22.5" customHeight="1">
      <c r="A192" s="19">
        <v>45958.0</v>
      </c>
      <c r="B192" s="21" t="s">
        <v>15</v>
      </c>
      <c r="C192" s="21" t="s">
        <v>93</v>
      </c>
      <c r="D192" s="3">
        <v>50.0</v>
      </c>
      <c r="E192" s="23"/>
    </row>
    <row r="193" ht="22.5" customHeight="1">
      <c r="A193" s="19">
        <v>45960.0</v>
      </c>
      <c r="B193" s="21" t="s">
        <v>18</v>
      </c>
      <c r="C193" s="21" t="s">
        <v>93</v>
      </c>
      <c r="D193" s="3">
        <v>15.0</v>
      </c>
      <c r="E193" s="23"/>
    </row>
    <row r="194" ht="22.5" customHeight="1">
      <c r="A194" s="19">
        <v>45992.0</v>
      </c>
      <c r="B194" s="21" t="s">
        <v>15</v>
      </c>
      <c r="C194" s="21" t="s">
        <v>93</v>
      </c>
      <c r="D194" s="3">
        <v>50.0</v>
      </c>
      <c r="E194" s="23"/>
    </row>
    <row r="195" ht="22.5" customHeight="1">
      <c r="A195" s="19">
        <v>46002.0</v>
      </c>
      <c r="B195" s="21" t="s">
        <v>18</v>
      </c>
      <c r="C195" s="21" t="s">
        <v>93</v>
      </c>
      <c r="D195" s="3">
        <v>24.0</v>
      </c>
      <c r="E195" s="23"/>
    </row>
    <row r="196" ht="22.5" customHeight="1">
      <c r="A196" s="19">
        <v>45966.0</v>
      </c>
      <c r="B196" s="21" t="s">
        <v>18</v>
      </c>
      <c r="C196" s="21" t="s">
        <v>95</v>
      </c>
      <c r="D196" s="3">
        <v>107.0</v>
      </c>
      <c r="E196" s="23"/>
    </row>
    <row r="197" ht="22.5" customHeight="1">
      <c r="A197" s="19">
        <v>45973.0</v>
      </c>
      <c r="B197" s="21" t="s">
        <v>15</v>
      </c>
      <c r="C197" s="21" t="s">
        <v>95</v>
      </c>
      <c r="D197" s="3">
        <v>107.0</v>
      </c>
      <c r="E197" s="23"/>
    </row>
    <row r="198" ht="22.5" customHeight="1">
      <c r="A198" s="19">
        <v>45898.0</v>
      </c>
      <c r="B198" s="21" t="s">
        <v>18</v>
      </c>
      <c r="C198" s="21" t="s">
        <v>98</v>
      </c>
      <c r="D198" s="3">
        <v>4.0</v>
      </c>
      <c r="E198" s="23"/>
    </row>
    <row r="199" ht="22.5" customHeight="1">
      <c r="A199" s="19">
        <v>45961.0</v>
      </c>
      <c r="B199" s="21" t="s">
        <v>15</v>
      </c>
      <c r="C199" s="21" t="s">
        <v>98</v>
      </c>
      <c r="D199" s="3">
        <v>4.0</v>
      </c>
      <c r="E199" s="23"/>
    </row>
    <row r="200" ht="22.5" customHeight="1">
      <c r="A200" s="19">
        <v>45961.0</v>
      </c>
      <c r="B200" s="21" t="s">
        <v>11</v>
      </c>
      <c r="C200" s="21" t="s">
        <v>98</v>
      </c>
      <c r="D200" s="3">
        <v>4.0</v>
      </c>
      <c r="E200" s="23">
        <v>135.6</v>
      </c>
    </row>
    <row r="201" ht="22.5" customHeight="1">
      <c r="A201" s="19">
        <v>45940.0</v>
      </c>
      <c r="B201" s="21" t="s">
        <v>18</v>
      </c>
      <c r="C201" s="21" t="s">
        <v>100</v>
      </c>
      <c r="D201" s="3">
        <v>30.0</v>
      </c>
      <c r="E201" s="23"/>
    </row>
    <row r="202" ht="22.5" customHeight="1">
      <c r="A202" s="19">
        <v>45945.0</v>
      </c>
      <c r="B202" s="21" t="s">
        <v>15</v>
      </c>
      <c r="C202" s="21" t="s">
        <v>100</v>
      </c>
      <c r="D202" s="3">
        <v>21.0</v>
      </c>
      <c r="E202" s="23"/>
    </row>
    <row r="203" ht="22.5" customHeight="1">
      <c r="A203" s="19">
        <v>45957.0</v>
      </c>
      <c r="B203" s="21" t="s">
        <v>18</v>
      </c>
      <c r="C203" s="21" t="s">
        <v>103</v>
      </c>
      <c r="D203" s="3">
        <v>7.0</v>
      </c>
      <c r="E203" s="23"/>
    </row>
    <row r="204" ht="22.5" customHeight="1">
      <c r="A204" s="19">
        <v>45973.0</v>
      </c>
      <c r="B204" s="21" t="s">
        <v>15</v>
      </c>
      <c r="C204" s="21" t="s">
        <v>103</v>
      </c>
      <c r="D204" s="3">
        <v>1.0</v>
      </c>
      <c r="E204" s="23"/>
    </row>
    <row r="205" ht="22.5" customHeight="1">
      <c r="A205" s="19">
        <v>46000.0</v>
      </c>
      <c r="B205" s="21" t="s">
        <v>15</v>
      </c>
      <c r="C205" s="21" t="s">
        <v>103</v>
      </c>
      <c r="D205" s="3">
        <v>1.0</v>
      </c>
      <c r="E205" s="23"/>
    </row>
    <row r="206" ht="22.5" customHeight="1">
      <c r="A206" s="19">
        <v>45597.0</v>
      </c>
      <c r="B206" s="21" t="s">
        <v>18</v>
      </c>
      <c r="C206" s="21" t="s">
        <v>106</v>
      </c>
      <c r="D206" s="3">
        <v>13.0</v>
      </c>
      <c r="E206" s="23"/>
    </row>
    <row r="207" ht="22.5" customHeight="1">
      <c r="A207" s="19">
        <v>45629.0</v>
      </c>
      <c r="B207" s="21" t="s">
        <v>15</v>
      </c>
      <c r="C207" s="21" t="s">
        <v>106</v>
      </c>
      <c r="D207" s="3">
        <v>13.0</v>
      </c>
      <c r="E207" s="23"/>
    </row>
    <row r="208" ht="22.5" customHeight="1">
      <c r="A208" s="19">
        <v>45500.0</v>
      </c>
      <c r="B208" s="21" t="s">
        <v>18</v>
      </c>
      <c r="C208" s="21" t="s">
        <v>109</v>
      </c>
      <c r="D208" s="3">
        <v>9.0</v>
      </c>
      <c r="E208" s="23"/>
    </row>
    <row r="209" ht="22.5" customHeight="1">
      <c r="A209" s="19">
        <v>45579.0</v>
      </c>
      <c r="B209" s="21" t="s">
        <v>15</v>
      </c>
      <c r="C209" s="21" t="s">
        <v>109</v>
      </c>
      <c r="D209" s="3">
        <v>7.0</v>
      </c>
      <c r="E209" s="23"/>
    </row>
    <row r="210" ht="22.5" customHeight="1">
      <c r="A210" s="27">
        <v>45359.0</v>
      </c>
      <c r="B210" s="29" t="s">
        <v>18</v>
      </c>
      <c r="C210" s="29" t="s">
        <v>112</v>
      </c>
      <c r="D210" s="30">
        <v>13.0</v>
      </c>
      <c r="E210" s="31"/>
    </row>
    <row r="211" ht="22.5" customHeight="1">
      <c r="A211" s="27">
        <v>45385.0</v>
      </c>
      <c r="B211" s="29" t="s">
        <v>15</v>
      </c>
      <c r="C211" s="29" t="s">
        <v>112</v>
      </c>
      <c r="D211" s="30">
        <v>13.0</v>
      </c>
      <c r="E211" s="31"/>
    </row>
    <row r="212" ht="22.5" customHeight="1">
      <c r="A212" s="19">
        <v>45512.0</v>
      </c>
      <c r="B212" s="21" t="s">
        <v>18</v>
      </c>
      <c r="C212" s="21" t="s">
        <v>112</v>
      </c>
      <c r="D212" s="3">
        <v>12.0</v>
      </c>
      <c r="E212" s="23"/>
    </row>
    <row r="213" ht="22.5" customHeight="1">
      <c r="A213" s="19">
        <v>45520.0</v>
      </c>
      <c r="B213" s="21" t="s">
        <v>18</v>
      </c>
      <c r="C213" s="21" t="s">
        <v>116</v>
      </c>
      <c r="D213" s="3">
        <v>25.0</v>
      </c>
      <c r="E213" s="23"/>
    </row>
    <row r="214" ht="22.5" customHeight="1">
      <c r="A214" s="19">
        <v>45520.0</v>
      </c>
      <c r="B214" s="21" t="s">
        <v>15</v>
      </c>
      <c r="C214" s="21" t="s">
        <v>116</v>
      </c>
      <c r="D214" s="3">
        <v>19.0</v>
      </c>
      <c r="E214" s="23"/>
    </row>
    <row r="215" ht="22.5" customHeight="1">
      <c r="A215" s="19">
        <v>45597.0</v>
      </c>
      <c r="B215" s="21" t="s">
        <v>18</v>
      </c>
      <c r="C215" s="21" t="s">
        <v>116</v>
      </c>
      <c r="D215" s="3">
        <v>21.0</v>
      </c>
      <c r="E215" s="23"/>
    </row>
    <row r="216" ht="22.5" customHeight="1">
      <c r="A216" s="19">
        <v>45706.0</v>
      </c>
      <c r="B216" s="21" t="s">
        <v>15</v>
      </c>
      <c r="C216" s="21" t="s">
        <v>116</v>
      </c>
      <c r="D216" s="3">
        <v>6.0</v>
      </c>
      <c r="E216" s="23"/>
    </row>
    <row r="217" ht="22.5" customHeight="1">
      <c r="A217" s="27">
        <v>45281.0</v>
      </c>
      <c r="B217" s="29" t="s">
        <v>18</v>
      </c>
      <c r="C217" s="29" t="s">
        <v>119</v>
      </c>
      <c r="D217" s="30">
        <v>70.0</v>
      </c>
      <c r="E217" s="31"/>
    </row>
    <row r="218" ht="22.5" customHeight="1">
      <c r="A218" s="27">
        <v>45385.0</v>
      </c>
      <c r="B218" s="29" t="s">
        <v>15</v>
      </c>
      <c r="C218" s="29" t="s">
        <v>119</v>
      </c>
      <c r="D218" s="30">
        <v>20.0</v>
      </c>
      <c r="E218" s="31"/>
    </row>
    <row r="219" ht="22.5" customHeight="1">
      <c r="A219" s="27">
        <v>45385.0</v>
      </c>
      <c r="B219" s="29" t="s">
        <v>18</v>
      </c>
      <c r="C219" s="29" t="s">
        <v>119</v>
      </c>
      <c r="D219" s="30">
        <v>50.0</v>
      </c>
      <c r="E219" s="31"/>
    </row>
    <row r="220" ht="22.5" customHeight="1">
      <c r="A220" s="27">
        <v>45386.0</v>
      </c>
      <c r="B220" s="29" t="s">
        <v>15</v>
      </c>
      <c r="C220" s="29" t="s">
        <v>119</v>
      </c>
      <c r="D220" s="30">
        <v>17.0</v>
      </c>
      <c r="E220" s="31"/>
    </row>
    <row r="221" ht="22.5" customHeight="1">
      <c r="A221" s="19">
        <v>45411.0</v>
      </c>
      <c r="B221" s="21" t="s">
        <v>18</v>
      </c>
      <c r="C221" s="21" t="s">
        <v>119</v>
      </c>
      <c r="D221" s="3">
        <v>50.0</v>
      </c>
      <c r="E221" s="23"/>
    </row>
    <row r="222" ht="22.5" customHeight="1">
      <c r="A222" s="19">
        <v>45455.0</v>
      </c>
      <c r="B222" s="21" t="s">
        <v>15</v>
      </c>
      <c r="C222" s="21" t="s">
        <v>119</v>
      </c>
      <c r="D222" s="3">
        <v>60.0</v>
      </c>
      <c r="E222" s="23"/>
    </row>
    <row r="223" ht="22.5" customHeight="1">
      <c r="A223" s="19">
        <v>45603.0</v>
      </c>
      <c r="B223" s="21" t="s">
        <v>15</v>
      </c>
      <c r="C223" s="21" t="s">
        <v>119</v>
      </c>
      <c r="D223" s="3">
        <v>73.0</v>
      </c>
      <c r="E223" s="23"/>
    </row>
    <row r="224" ht="22.5" customHeight="1">
      <c r="A224" s="19">
        <v>45740.0</v>
      </c>
      <c r="B224" s="21" t="s">
        <v>18</v>
      </c>
      <c r="C224" s="21" t="s">
        <v>119</v>
      </c>
      <c r="D224" s="3">
        <v>75.0</v>
      </c>
      <c r="E224" s="23"/>
    </row>
    <row r="225" ht="22.5" customHeight="1">
      <c r="A225" s="19">
        <v>45796.0</v>
      </c>
      <c r="B225" s="21" t="s">
        <v>15</v>
      </c>
      <c r="C225" s="21" t="s">
        <v>119</v>
      </c>
      <c r="D225" s="3">
        <v>52.0</v>
      </c>
      <c r="E225" s="23"/>
    </row>
    <row r="226" ht="22.5" customHeight="1">
      <c r="A226" s="19">
        <v>45945.0</v>
      </c>
      <c r="B226" s="21" t="s">
        <v>18</v>
      </c>
      <c r="C226" s="21" t="s">
        <v>119</v>
      </c>
      <c r="D226" s="3">
        <v>40.0</v>
      </c>
      <c r="E226" s="23"/>
    </row>
    <row r="227" ht="22.5" customHeight="1">
      <c r="A227" s="19">
        <v>45955.0</v>
      </c>
      <c r="B227" s="21" t="s">
        <v>15</v>
      </c>
      <c r="C227" s="21" t="s">
        <v>119</v>
      </c>
      <c r="D227" s="3">
        <v>39.0</v>
      </c>
      <c r="E227" s="23"/>
    </row>
    <row r="228" ht="22.5" customHeight="1">
      <c r="A228" s="19">
        <v>45923.0</v>
      </c>
      <c r="B228" s="21" t="s">
        <v>18</v>
      </c>
      <c r="C228" s="21" t="s">
        <v>122</v>
      </c>
      <c r="D228" s="3">
        <v>251.0</v>
      </c>
      <c r="E228" s="23"/>
    </row>
    <row r="229" ht="22.5" customHeight="1">
      <c r="A229" s="19">
        <v>46014.0</v>
      </c>
      <c r="B229" s="21" t="s">
        <v>18</v>
      </c>
      <c r="C229" s="21" t="s">
        <v>61</v>
      </c>
      <c r="D229" s="3">
        <v>25.0</v>
      </c>
      <c r="E229" s="23"/>
    </row>
    <row r="230" ht="22.5" customHeight="1">
      <c r="A230" s="19">
        <v>46036.0</v>
      </c>
      <c r="B230" s="21" t="s">
        <v>15</v>
      </c>
      <c r="C230" s="21" t="s">
        <v>61</v>
      </c>
      <c r="D230" s="3">
        <v>41.0</v>
      </c>
      <c r="E230" s="23"/>
    </row>
    <row r="231" ht="22.5" customHeight="1">
      <c r="A231" s="19">
        <v>46042.0</v>
      </c>
      <c r="B231" s="21" t="s">
        <v>15</v>
      </c>
      <c r="C231" s="21" t="s">
        <v>21</v>
      </c>
      <c r="D231" s="3">
        <v>15.0</v>
      </c>
      <c r="E231" s="23"/>
    </row>
    <row r="232" ht="22.5" customHeight="1">
      <c r="A232" s="19">
        <v>46044.0</v>
      </c>
      <c r="B232" s="21" t="s">
        <v>18</v>
      </c>
      <c r="C232" s="21" t="s">
        <v>21</v>
      </c>
      <c r="D232" s="3">
        <v>2.0</v>
      </c>
      <c r="E232" s="23"/>
    </row>
    <row r="233" ht="22.5" customHeight="1">
      <c r="A233" s="19">
        <v>46049.0</v>
      </c>
      <c r="B233" s="21" t="s">
        <v>18</v>
      </c>
      <c r="C233" s="21" t="s">
        <v>66</v>
      </c>
      <c r="D233" s="3">
        <v>80.0</v>
      </c>
      <c r="E233" s="23"/>
    </row>
    <row r="234" ht="22.5" customHeight="1">
      <c r="A234" s="19">
        <v>46050.0</v>
      </c>
      <c r="B234" s="21" t="s">
        <v>15</v>
      </c>
      <c r="C234" s="21" t="s">
        <v>66</v>
      </c>
      <c r="D234" s="3">
        <v>304.0</v>
      </c>
      <c r="E234" s="23"/>
    </row>
    <row r="235" ht="22.5" customHeight="1">
      <c r="A235" s="19">
        <v>46055.0</v>
      </c>
      <c r="B235" s="21" t="s">
        <v>18</v>
      </c>
      <c r="C235" s="21" t="s">
        <v>66</v>
      </c>
      <c r="D235" s="3">
        <v>75.0</v>
      </c>
      <c r="E235" s="23"/>
    </row>
    <row r="236" ht="22.5" customHeight="1">
      <c r="A236" s="19">
        <v>46038.0</v>
      </c>
      <c r="B236" s="21" t="s">
        <v>18</v>
      </c>
      <c r="C236" s="21" t="s">
        <v>31</v>
      </c>
      <c r="D236" s="3">
        <v>130.0</v>
      </c>
      <c r="E236" s="23"/>
    </row>
    <row r="237" ht="22.5" customHeight="1">
      <c r="A237" s="19">
        <v>46042.0</v>
      </c>
      <c r="B237" s="21" t="s">
        <v>15</v>
      </c>
      <c r="C237" s="21" t="s">
        <v>31</v>
      </c>
      <c r="D237" s="3">
        <v>15.0</v>
      </c>
      <c r="E237" s="23"/>
    </row>
    <row r="238" ht="22.5" customHeight="1">
      <c r="A238" s="19">
        <v>46042.0</v>
      </c>
      <c r="B238" s="21" t="s">
        <v>15</v>
      </c>
      <c r="C238" s="21" t="s">
        <v>93</v>
      </c>
      <c r="D238" s="3">
        <v>30.0</v>
      </c>
      <c r="E238" s="23"/>
    </row>
    <row r="239" ht="22.5" customHeight="1">
      <c r="A239" s="19">
        <v>46083.0</v>
      </c>
      <c r="B239" s="21" t="s">
        <v>18</v>
      </c>
      <c r="C239" s="21" t="s">
        <v>58</v>
      </c>
      <c r="D239" s="3">
        <v>51.0</v>
      </c>
      <c r="E239" s="23"/>
    </row>
    <row r="240" ht="22.5" customHeight="1">
      <c r="A240" s="19">
        <v>46083.0</v>
      </c>
      <c r="B240" s="21" t="s">
        <v>18</v>
      </c>
      <c r="C240" s="21" t="s">
        <v>49</v>
      </c>
      <c r="D240" s="3">
        <v>65.0</v>
      </c>
      <c r="E240" s="23"/>
    </row>
    <row r="241" ht="22.5" customHeight="1">
      <c r="A241" s="19">
        <v>46071.0</v>
      </c>
      <c r="B241" s="21" t="s">
        <v>18</v>
      </c>
      <c r="C241" s="21" t="s">
        <v>33</v>
      </c>
      <c r="D241" s="3">
        <v>500.0</v>
      </c>
      <c r="E241" s="23"/>
    </row>
    <row r="242" ht="22.5" customHeight="1">
      <c r="A242" s="19">
        <v>46087.0</v>
      </c>
      <c r="B242" s="21" t="s">
        <v>18</v>
      </c>
      <c r="C242" s="21" t="s">
        <v>125</v>
      </c>
      <c r="D242" s="3">
        <v>90.0</v>
      </c>
      <c r="E242" s="23"/>
    </row>
    <row r="243" ht="22.5" customHeight="1">
      <c r="A243" s="19">
        <v>46094.0</v>
      </c>
      <c r="B243" s="21" t="s">
        <v>15</v>
      </c>
      <c r="C243" s="21" t="s">
        <v>93</v>
      </c>
      <c r="D243" s="3">
        <v>50.0</v>
      </c>
      <c r="E243" s="23"/>
    </row>
    <row r="244" ht="22.5" customHeight="1">
      <c r="A244" s="19">
        <v>46094.0</v>
      </c>
      <c r="B244" s="21" t="s">
        <v>15</v>
      </c>
      <c r="C244" s="21" t="s">
        <v>31</v>
      </c>
      <c r="D244" s="3">
        <v>50.0</v>
      </c>
      <c r="E244" s="23"/>
    </row>
    <row r="245" ht="22.5" customHeight="1">
      <c r="A245" s="19">
        <v>46092.0</v>
      </c>
      <c r="B245" s="21" t="s">
        <v>15</v>
      </c>
      <c r="C245" s="21" t="s">
        <v>125</v>
      </c>
      <c r="D245" s="3">
        <v>75.0</v>
      </c>
      <c r="E245" s="23"/>
    </row>
    <row r="246" ht="22.5" customHeight="1">
      <c r="A246" s="19">
        <v>46093.0</v>
      </c>
      <c r="B246" s="21" t="s">
        <v>15</v>
      </c>
      <c r="C246" s="21" t="s">
        <v>58</v>
      </c>
      <c r="D246" s="3">
        <v>30.0</v>
      </c>
      <c r="E246" s="23"/>
    </row>
    <row r="247" ht="22.5" customHeight="1">
      <c r="A247" s="19">
        <v>46098.0</v>
      </c>
      <c r="B247" s="21" t="s">
        <v>18</v>
      </c>
      <c r="C247" s="21" t="s">
        <v>93</v>
      </c>
      <c r="D247" s="3">
        <v>12.0</v>
      </c>
      <c r="E247" s="23"/>
    </row>
    <row r="248" ht="22.5" customHeight="1">
      <c r="A248" s="19">
        <v>46098.0</v>
      </c>
      <c r="B248" s="21" t="s">
        <v>18</v>
      </c>
      <c r="C248" s="21" t="s">
        <v>31</v>
      </c>
      <c r="D248" s="3">
        <v>12.0</v>
      </c>
      <c r="E248" s="23"/>
    </row>
    <row r="249" ht="22.5" customHeight="1">
      <c r="A249" s="19">
        <v>46097.0</v>
      </c>
      <c r="B249" s="21" t="s">
        <v>15</v>
      </c>
      <c r="C249" s="60" t="s">
        <v>49</v>
      </c>
      <c r="D249" s="37">
        <v>76.0</v>
      </c>
      <c r="E249" s="61"/>
    </row>
    <row r="250" ht="22.5" customHeight="1">
      <c r="A250" s="19">
        <v>46098.0</v>
      </c>
      <c r="B250" s="21" t="s">
        <v>18</v>
      </c>
      <c r="C250" s="60" t="s">
        <v>49</v>
      </c>
      <c r="D250" s="37">
        <v>12.0</v>
      </c>
      <c r="E250" s="61"/>
    </row>
    <row r="251" ht="22.5" customHeight="1">
      <c r="A251" s="19">
        <v>46120.0</v>
      </c>
      <c r="B251" s="21" t="s">
        <v>15</v>
      </c>
      <c r="C251" s="60" t="s">
        <v>22</v>
      </c>
      <c r="D251" s="37">
        <v>26.0</v>
      </c>
      <c r="E251" s="61"/>
    </row>
    <row r="252" ht="22.5" customHeight="1">
      <c r="A252" s="19">
        <v>46128.0</v>
      </c>
      <c r="B252" s="21" t="s">
        <v>15</v>
      </c>
      <c r="C252" s="60" t="s">
        <v>33</v>
      </c>
      <c r="D252" s="3">
        <v>93.0</v>
      </c>
      <c r="E252" s="61"/>
    </row>
    <row r="253" ht="22.5" customHeight="1">
      <c r="A253" s="19">
        <v>46176.0</v>
      </c>
      <c r="B253" s="21" t="s">
        <v>15</v>
      </c>
      <c r="C253" s="60" t="s">
        <v>33</v>
      </c>
      <c r="D253" s="5">
        <v>84.0</v>
      </c>
      <c r="E253" s="61"/>
    </row>
    <row r="254" ht="22.5" customHeight="1">
      <c r="A254" s="19">
        <v>46176.0</v>
      </c>
      <c r="B254" s="21" t="s">
        <v>15</v>
      </c>
      <c r="C254" s="60" t="s">
        <v>33</v>
      </c>
      <c r="D254" s="5">
        <v>43.0</v>
      </c>
      <c r="E254" s="61"/>
    </row>
    <row r="255" ht="22.5" customHeight="1">
      <c r="A255" s="19">
        <v>46176.0</v>
      </c>
      <c r="B255" s="21" t="s">
        <v>15</v>
      </c>
      <c r="C255" s="60" t="s">
        <v>33</v>
      </c>
      <c r="D255" s="5">
        <v>5.0</v>
      </c>
      <c r="E255" s="61"/>
    </row>
    <row r="256" ht="22.5" customHeight="1">
      <c r="A256" s="19">
        <v>46133.0</v>
      </c>
      <c r="B256" s="21" t="s">
        <v>15</v>
      </c>
      <c r="C256" s="60" t="s">
        <v>22</v>
      </c>
      <c r="D256" s="37">
        <v>16.0</v>
      </c>
      <c r="E256" s="61"/>
    </row>
    <row r="257" ht="22.5" customHeight="1">
      <c r="A257" s="19">
        <v>46153.0</v>
      </c>
      <c r="B257" s="21" t="s">
        <v>18</v>
      </c>
      <c r="C257" s="60" t="s">
        <v>66</v>
      </c>
      <c r="D257" s="37">
        <v>225.0</v>
      </c>
      <c r="E257" s="61"/>
    </row>
    <row r="258" ht="22.5" customHeight="1">
      <c r="A258" s="19">
        <v>46155.0</v>
      </c>
      <c r="B258" s="21" t="s">
        <v>15</v>
      </c>
      <c r="C258" s="60" t="s">
        <v>66</v>
      </c>
      <c r="D258" s="37">
        <v>157.0</v>
      </c>
      <c r="E258" s="61"/>
    </row>
    <row r="259" ht="22.5" customHeight="1">
      <c r="A259" s="19">
        <v>46149.0</v>
      </c>
      <c r="B259" s="21" t="s">
        <v>18</v>
      </c>
      <c r="C259" s="60" t="s">
        <v>73</v>
      </c>
      <c r="D259" s="37">
        <v>45.0</v>
      </c>
      <c r="E259" s="61"/>
    </row>
    <row r="260" ht="22.5" customHeight="1">
      <c r="A260" s="19">
        <v>46149.0</v>
      </c>
      <c r="B260" s="21" t="s">
        <v>18</v>
      </c>
      <c r="C260" s="60" t="s">
        <v>61</v>
      </c>
      <c r="D260" s="37">
        <v>30.0</v>
      </c>
      <c r="E260" s="61"/>
    </row>
    <row r="261" ht="22.5" customHeight="1">
      <c r="A261" s="19">
        <v>46191.0</v>
      </c>
      <c r="B261" s="21" t="s">
        <v>15</v>
      </c>
      <c r="C261" s="60" t="s">
        <v>61</v>
      </c>
      <c r="D261" s="37">
        <v>24.0</v>
      </c>
      <c r="E261" s="61"/>
    </row>
    <row r="262" ht="22.5" customHeight="1">
      <c r="A262" s="19">
        <v>46167.0</v>
      </c>
      <c r="B262" s="21" t="s">
        <v>15</v>
      </c>
      <c r="C262" s="60" t="s">
        <v>73</v>
      </c>
      <c r="D262" s="37">
        <v>40.0</v>
      </c>
      <c r="E262" s="61"/>
    </row>
    <row r="263" ht="22.5" customHeight="1">
      <c r="A263" s="19">
        <v>46189.0</v>
      </c>
      <c r="B263" s="21" t="s">
        <v>18</v>
      </c>
      <c r="C263" s="60" t="s">
        <v>58</v>
      </c>
      <c r="D263" s="37">
        <v>60.0</v>
      </c>
      <c r="E263" s="61"/>
    </row>
    <row r="264" ht="22.5" customHeight="1">
      <c r="A264" s="19">
        <v>46203.0</v>
      </c>
      <c r="B264" s="21" t="s">
        <v>18</v>
      </c>
      <c r="C264" s="60" t="s">
        <v>128</v>
      </c>
      <c r="D264" s="37">
        <v>40.0</v>
      </c>
      <c r="E264" s="61"/>
    </row>
    <row r="265" ht="22.5" customHeight="1">
      <c r="A265" s="19">
        <v>46203.0</v>
      </c>
      <c r="B265" s="21" t="s">
        <v>18</v>
      </c>
      <c r="C265" s="60" t="s">
        <v>22</v>
      </c>
      <c r="D265" s="37">
        <v>30.0</v>
      </c>
      <c r="E265" s="61"/>
    </row>
    <row r="266" ht="22.5" customHeight="1">
      <c r="A266" s="19">
        <v>46203.0</v>
      </c>
      <c r="B266" s="21" t="s">
        <v>18</v>
      </c>
      <c r="C266" s="60" t="s">
        <v>119</v>
      </c>
      <c r="D266" s="37">
        <v>30.0</v>
      </c>
      <c r="E266" s="61"/>
    </row>
    <row r="267" ht="22.5" customHeight="1">
      <c r="A267" s="19">
        <v>46210.0</v>
      </c>
      <c r="B267" s="21" t="s">
        <v>15</v>
      </c>
      <c r="C267" s="60" t="s">
        <v>128</v>
      </c>
      <c r="D267" s="37">
        <v>17.0</v>
      </c>
      <c r="E267" s="61"/>
    </row>
    <row r="268" ht="22.5" customHeight="1">
      <c r="A268" s="19">
        <v>46218.0</v>
      </c>
      <c r="B268" s="21" t="s">
        <v>15</v>
      </c>
      <c r="C268" s="60" t="s">
        <v>22</v>
      </c>
      <c r="D268" s="37">
        <v>26.0</v>
      </c>
      <c r="E268" s="61"/>
    </row>
    <row r="269" ht="22.5" customHeight="1">
      <c r="A269" s="19">
        <v>46227.0</v>
      </c>
      <c r="B269" s="21" t="s">
        <v>18</v>
      </c>
      <c r="C269" s="60" t="s">
        <v>61</v>
      </c>
      <c r="D269" s="37">
        <v>30.0</v>
      </c>
      <c r="E269" s="61"/>
    </row>
    <row r="270" ht="22.5" customHeight="1">
      <c r="A270" s="19">
        <v>46227.0</v>
      </c>
      <c r="B270" s="21" t="s">
        <v>18</v>
      </c>
      <c r="C270" s="60" t="s">
        <v>40</v>
      </c>
      <c r="D270" s="37">
        <v>40.0</v>
      </c>
      <c r="E270" s="61"/>
    </row>
    <row r="271" ht="22.5" customHeight="1">
      <c r="A271" s="19">
        <v>46228.0</v>
      </c>
      <c r="B271" s="21" t="s">
        <v>15</v>
      </c>
      <c r="C271" s="60" t="s">
        <v>40</v>
      </c>
      <c r="D271" s="37">
        <v>31.0</v>
      </c>
      <c r="E271" s="61"/>
    </row>
    <row r="272" ht="22.5" customHeight="1">
      <c r="A272" s="19">
        <v>46226.0</v>
      </c>
      <c r="B272" s="21" t="s">
        <v>15</v>
      </c>
      <c r="C272" s="60" t="s">
        <v>119</v>
      </c>
      <c r="D272" s="37">
        <v>21.0</v>
      </c>
      <c r="E272" s="61"/>
    </row>
    <row r="273" ht="22.5" customHeight="1">
      <c r="A273" s="19">
        <v>46239.0</v>
      </c>
      <c r="B273" s="21" t="s">
        <v>15</v>
      </c>
      <c r="C273" s="60" t="s">
        <v>33</v>
      </c>
      <c r="D273" s="37">
        <v>122.0</v>
      </c>
      <c r="E273" s="61"/>
    </row>
    <row r="274" ht="22.5" customHeight="1">
      <c r="A274" s="19">
        <v>46190.0</v>
      </c>
      <c r="B274" s="21" t="s">
        <v>15</v>
      </c>
      <c r="C274" s="60" t="s">
        <v>58</v>
      </c>
      <c r="D274" s="37">
        <v>15.0</v>
      </c>
      <c r="E274" s="61"/>
    </row>
    <row r="275" ht="22.5" customHeight="1">
      <c r="A275" s="19"/>
      <c r="B275" s="59"/>
      <c r="C275" s="62"/>
      <c r="E275" s="61"/>
    </row>
    <row r="276" ht="22.5" customHeight="1">
      <c r="A276" s="19"/>
      <c r="B276" s="59"/>
      <c r="C276" s="62"/>
      <c r="E276" s="61"/>
    </row>
    <row r="277" ht="22.5" customHeight="1">
      <c r="A277" s="19"/>
      <c r="B277" s="59"/>
      <c r="C277" s="62"/>
      <c r="E277" s="61"/>
    </row>
    <row r="278" ht="22.5" customHeight="1">
      <c r="A278" s="19"/>
      <c r="B278" s="59"/>
      <c r="C278" s="62"/>
      <c r="E278" s="61"/>
    </row>
    <row r="279" ht="22.5" customHeight="1">
      <c r="A279" s="19"/>
      <c r="B279" s="59"/>
      <c r="C279" s="62"/>
      <c r="E279" s="61"/>
    </row>
    <row r="280" ht="22.5" customHeight="1">
      <c r="A280" s="19"/>
      <c r="B280" s="59"/>
      <c r="C280" s="62"/>
      <c r="E280" s="61"/>
    </row>
    <row r="281" ht="22.5" customHeight="1">
      <c r="A281" s="19"/>
      <c r="B281" s="59"/>
      <c r="C281" s="62"/>
      <c r="E281" s="61"/>
    </row>
    <row r="282" ht="22.5" customHeight="1">
      <c r="A282" s="19"/>
      <c r="B282" s="59"/>
      <c r="C282" s="62"/>
      <c r="E282" s="61"/>
    </row>
    <row r="283" ht="22.5" customHeight="1">
      <c r="A283" s="19"/>
      <c r="B283" s="59"/>
      <c r="C283" s="62"/>
      <c r="E283" s="61"/>
    </row>
    <row r="284" ht="22.5" customHeight="1">
      <c r="A284" s="19"/>
      <c r="B284" s="59"/>
      <c r="C284" s="62"/>
      <c r="E284" s="61"/>
    </row>
    <row r="285" ht="22.5" customHeight="1">
      <c r="A285" s="19"/>
      <c r="B285" s="59"/>
      <c r="C285" s="62"/>
      <c r="E285" s="61"/>
    </row>
    <row r="286" ht="22.5" customHeight="1">
      <c r="A286" s="19"/>
      <c r="B286" s="59"/>
      <c r="C286" s="62"/>
      <c r="E286" s="61"/>
    </row>
    <row r="287" ht="22.5" customHeight="1">
      <c r="A287" s="19"/>
      <c r="B287" s="59"/>
      <c r="C287" s="62"/>
      <c r="E287" s="61"/>
    </row>
    <row r="288" ht="22.5" customHeight="1">
      <c r="A288" s="19"/>
      <c r="B288" s="59"/>
      <c r="C288" s="62"/>
      <c r="E288" s="61"/>
    </row>
    <row r="289" ht="22.5" customHeight="1">
      <c r="A289" s="19"/>
      <c r="B289" s="59"/>
      <c r="C289" s="62"/>
      <c r="E289" s="61"/>
    </row>
    <row r="290" ht="22.5" customHeight="1">
      <c r="A290" s="19"/>
      <c r="B290" s="59"/>
      <c r="C290" s="62"/>
      <c r="E290" s="61"/>
    </row>
    <row r="291" ht="22.5" customHeight="1">
      <c r="A291" s="19"/>
      <c r="B291" s="59"/>
      <c r="C291" s="62"/>
      <c r="E291" s="61"/>
    </row>
    <row r="292" ht="22.5" customHeight="1">
      <c r="A292" s="19"/>
      <c r="B292" s="59"/>
      <c r="C292" s="62"/>
      <c r="E292" s="61"/>
    </row>
    <row r="293" ht="22.5" customHeight="1">
      <c r="A293" s="19"/>
      <c r="B293" s="59"/>
      <c r="C293" s="62"/>
      <c r="E293" s="61"/>
    </row>
    <row r="294" ht="22.5" customHeight="1">
      <c r="A294" s="19"/>
      <c r="B294" s="59"/>
      <c r="C294" s="62"/>
      <c r="E294" s="61"/>
    </row>
    <row r="295" ht="22.5" customHeight="1">
      <c r="A295" s="19"/>
      <c r="B295" s="59"/>
      <c r="C295" s="62"/>
      <c r="E295" s="61"/>
    </row>
    <row r="296" ht="22.5" customHeight="1">
      <c r="A296" s="19"/>
      <c r="B296" s="59"/>
      <c r="C296" s="62"/>
      <c r="E296" s="61"/>
    </row>
    <row r="297" ht="22.5" customHeight="1">
      <c r="B297" s="59"/>
      <c r="C297" s="62"/>
      <c r="E297" s="61"/>
    </row>
    <row r="298" ht="22.5" customHeight="1">
      <c r="B298" s="59"/>
      <c r="C298" s="62"/>
      <c r="E298" s="61"/>
    </row>
    <row r="299" ht="22.5" customHeight="1">
      <c r="B299" s="59"/>
      <c r="C299" s="62"/>
      <c r="E299" s="61"/>
    </row>
    <row r="300" ht="22.5" customHeight="1">
      <c r="B300" s="59"/>
      <c r="C300" s="62"/>
      <c r="E300" s="61"/>
    </row>
    <row r="301" ht="22.5" customHeight="1">
      <c r="B301" s="59"/>
      <c r="C301" s="62"/>
      <c r="E301" s="61"/>
    </row>
    <row r="302" ht="22.5" customHeight="1">
      <c r="B302" s="59"/>
      <c r="C302" s="62"/>
      <c r="E302" s="61"/>
    </row>
    <row r="303" ht="22.5" customHeight="1">
      <c r="B303" s="59"/>
      <c r="C303" s="62"/>
      <c r="E303" s="61"/>
    </row>
    <row r="304" ht="22.5" customHeight="1">
      <c r="B304" s="59"/>
      <c r="C304" s="62"/>
      <c r="E304" s="61"/>
    </row>
    <row r="305" ht="22.5" customHeight="1">
      <c r="B305" s="59"/>
      <c r="C305" s="62"/>
      <c r="E305" s="61"/>
    </row>
    <row r="306" ht="22.5" customHeight="1">
      <c r="B306" s="59"/>
      <c r="C306" s="62"/>
      <c r="E306" s="61"/>
    </row>
    <row r="307" ht="22.5" customHeight="1">
      <c r="B307" s="59"/>
      <c r="C307" s="62"/>
      <c r="E307" s="61"/>
    </row>
    <row r="308" ht="22.5" customHeight="1">
      <c r="B308" s="59"/>
      <c r="C308" s="62"/>
      <c r="E308" s="61"/>
    </row>
    <row r="309" ht="22.5" customHeight="1">
      <c r="B309" s="59"/>
      <c r="C309" s="62"/>
      <c r="E309" s="61"/>
    </row>
    <row r="310" ht="22.5" customHeight="1">
      <c r="B310" s="59"/>
      <c r="C310" s="62"/>
      <c r="E310" s="61"/>
    </row>
    <row r="311" ht="22.5" customHeight="1">
      <c r="B311" s="59"/>
      <c r="C311" s="62"/>
      <c r="E311" s="61"/>
    </row>
    <row r="312" ht="22.5" customHeight="1">
      <c r="B312" s="59"/>
      <c r="C312" s="62"/>
      <c r="E312" s="61"/>
    </row>
    <row r="313" ht="22.5" customHeight="1">
      <c r="B313" s="59"/>
      <c r="C313" s="62"/>
      <c r="E313" s="61"/>
    </row>
    <row r="314" ht="22.5" customHeight="1">
      <c r="B314" s="59"/>
      <c r="C314" s="62"/>
      <c r="E314" s="61"/>
    </row>
    <row r="315" ht="22.5" customHeight="1">
      <c r="B315" s="59"/>
      <c r="C315" s="62"/>
      <c r="E315" s="61"/>
    </row>
    <row r="316" ht="22.5" customHeight="1">
      <c r="B316" s="59"/>
      <c r="C316" s="62"/>
      <c r="E316" s="61"/>
    </row>
    <row r="317" ht="22.5" customHeight="1">
      <c r="B317" s="59"/>
      <c r="C317" s="62"/>
      <c r="E317" s="61"/>
    </row>
    <row r="318" ht="22.5" customHeight="1">
      <c r="B318" s="59"/>
      <c r="C318" s="62"/>
      <c r="E318" s="61"/>
    </row>
    <row r="319" ht="22.5" customHeight="1">
      <c r="B319" s="59"/>
      <c r="C319" s="62"/>
      <c r="E319" s="61"/>
    </row>
    <row r="320" ht="22.5" customHeight="1">
      <c r="B320" s="59"/>
      <c r="C320" s="62"/>
      <c r="E320" s="61"/>
    </row>
    <row r="321" ht="22.5" customHeight="1">
      <c r="B321" s="59"/>
      <c r="C321" s="62"/>
      <c r="E321" s="61"/>
    </row>
    <row r="322" ht="22.5" customHeight="1">
      <c r="B322" s="59"/>
      <c r="C322" s="62"/>
      <c r="E322" s="61"/>
    </row>
    <row r="323" ht="22.5" customHeight="1">
      <c r="B323" s="59"/>
      <c r="C323" s="62"/>
      <c r="E323" s="61"/>
    </row>
    <row r="324" ht="22.5" customHeight="1">
      <c r="B324" s="59"/>
      <c r="C324" s="62"/>
      <c r="E324" s="61"/>
    </row>
    <row r="325" ht="22.5" customHeight="1">
      <c r="B325" s="59"/>
      <c r="C325" s="62"/>
      <c r="E325" s="61"/>
    </row>
    <row r="326" ht="22.5" customHeight="1">
      <c r="B326" s="59"/>
      <c r="C326" s="62"/>
      <c r="E326" s="61"/>
    </row>
    <row r="327" ht="22.5" customHeight="1">
      <c r="B327" s="59"/>
      <c r="C327" s="62"/>
      <c r="E327" s="61"/>
    </row>
    <row r="328" ht="22.5" customHeight="1">
      <c r="B328" s="59"/>
      <c r="C328" s="62"/>
      <c r="E328" s="61"/>
    </row>
    <row r="329" ht="22.5" customHeight="1">
      <c r="B329" s="59"/>
      <c r="C329" s="62"/>
      <c r="E329" s="61"/>
    </row>
    <row r="330" ht="22.5" customHeight="1">
      <c r="B330" s="59"/>
      <c r="C330" s="62"/>
      <c r="E330" s="61"/>
    </row>
    <row r="331" ht="22.5" customHeight="1">
      <c r="B331" s="59"/>
      <c r="C331" s="62"/>
      <c r="E331" s="61"/>
    </row>
    <row r="332" ht="22.5" customHeight="1">
      <c r="B332" s="59"/>
      <c r="C332" s="62"/>
      <c r="E332" s="61"/>
    </row>
    <row r="333" ht="22.5" customHeight="1">
      <c r="B333" s="59"/>
      <c r="C333" s="62"/>
      <c r="E333" s="61"/>
    </row>
    <row r="334" ht="22.5" customHeight="1">
      <c r="B334" s="59"/>
      <c r="C334" s="62"/>
      <c r="E334" s="61"/>
    </row>
    <row r="335" ht="22.5" customHeight="1">
      <c r="B335" s="59"/>
      <c r="C335" s="62"/>
      <c r="E335" s="61"/>
    </row>
    <row r="336" ht="22.5" customHeight="1">
      <c r="B336" s="59"/>
      <c r="C336" s="62"/>
      <c r="E336" s="61"/>
    </row>
    <row r="337" ht="22.5" customHeight="1">
      <c r="B337" s="59"/>
      <c r="C337" s="62"/>
      <c r="E337" s="61"/>
    </row>
    <row r="338" ht="22.5" customHeight="1">
      <c r="B338" s="59"/>
      <c r="C338" s="62"/>
      <c r="E338" s="61"/>
    </row>
    <row r="339" ht="22.5" customHeight="1">
      <c r="B339" s="59"/>
      <c r="C339" s="62"/>
      <c r="E339" s="61"/>
    </row>
    <row r="340" ht="22.5" customHeight="1">
      <c r="B340" s="59"/>
      <c r="C340" s="62"/>
      <c r="E340" s="61"/>
    </row>
    <row r="341" ht="22.5" customHeight="1">
      <c r="B341" s="59"/>
      <c r="C341" s="62"/>
      <c r="E341" s="61"/>
    </row>
    <row r="342" ht="22.5" customHeight="1">
      <c r="B342" s="59"/>
      <c r="C342" s="62"/>
      <c r="E342" s="61"/>
    </row>
    <row r="343" ht="22.5" customHeight="1">
      <c r="B343" s="59"/>
      <c r="C343" s="62"/>
      <c r="E343" s="61"/>
    </row>
    <row r="344" ht="22.5" customHeight="1">
      <c r="B344" s="59"/>
      <c r="C344" s="62"/>
      <c r="E344" s="61"/>
    </row>
    <row r="345" ht="22.5" customHeight="1">
      <c r="B345" s="59"/>
      <c r="C345" s="62"/>
      <c r="E345" s="61"/>
    </row>
    <row r="346" ht="22.5" customHeight="1">
      <c r="B346" s="59"/>
      <c r="C346" s="62"/>
      <c r="E346" s="61"/>
    </row>
    <row r="347" ht="22.5" customHeight="1">
      <c r="B347" s="59"/>
      <c r="C347" s="62"/>
      <c r="E347" s="61"/>
    </row>
    <row r="348" ht="22.5" customHeight="1">
      <c r="B348" s="59"/>
      <c r="C348" s="62"/>
      <c r="E348" s="61"/>
    </row>
    <row r="349" ht="22.5" customHeight="1">
      <c r="B349" s="59"/>
      <c r="C349" s="62"/>
      <c r="E349" s="61"/>
    </row>
    <row r="350" ht="22.5" customHeight="1">
      <c r="B350" s="59"/>
      <c r="C350" s="62"/>
      <c r="E350" s="61"/>
    </row>
    <row r="351" ht="22.5" customHeight="1">
      <c r="B351" s="59"/>
      <c r="C351" s="62"/>
      <c r="E351" s="61"/>
    </row>
    <row r="352" ht="22.5" customHeight="1">
      <c r="B352" s="59"/>
      <c r="C352" s="62"/>
      <c r="E352" s="61"/>
    </row>
    <row r="353" ht="22.5" customHeight="1">
      <c r="B353" s="59"/>
      <c r="C353" s="62"/>
      <c r="E353" s="61"/>
    </row>
    <row r="354" ht="22.5" customHeight="1">
      <c r="B354" s="62"/>
      <c r="C354" s="62"/>
      <c r="E354" s="61"/>
    </row>
    <row r="355" ht="22.5" customHeight="1">
      <c r="B355" s="62"/>
      <c r="C355" s="62"/>
      <c r="E355" s="61"/>
    </row>
    <row r="356" ht="22.5" customHeight="1">
      <c r="B356" s="62"/>
      <c r="C356" s="62"/>
      <c r="E356" s="61"/>
    </row>
    <row r="357" ht="22.5" customHeight="1">
      <c r="B357" s="62"/>
      <c r="C357" s="62"/>
      <c r="E357" s="61"/>
    </row>
    <row r="358" ht="22.5" customHeight="1">
      <c r="B358" s="62"/>
      <c r="C358" s="62"/>
      <c r="E358" s="61"/>
    </row>
    <row r="359" ht="22.5" customHeight="1">
      <c r="B359" s="62"/>
      <c r="C359" s="62"/>
      <c r="E359" s="61"/>
    </row>
    <row r="360" ht="22.5" customHeight="1">
      <c r="B360" s="62"/>
      <c r="C360" s="62"/>
      <c r="E360" s="61"/>
    </row>
    <row r="361" ht="22.5" customHeight="1">
      <c r="B361" s="62"/>
      <c r="C361" s="62"/>
      <c r="E361" s="61"/>
    </row>
    <row r="362" ht="22.5" customHeight="1">
      <c r="B362" s="62"/>
      <c r="C362" s="62"/>
      <c r="E362" s="61"/>
    </row>
    <row r="363" ht="22.5" customHeight="1">
      <c r="B363" s="62"/>
      <c r="C363" s="62"/>
      <c r="E363" s="61"/>
    </row>
    <row r="364" ht="22.5" customHeight="1">
      <c r="B364" s="62"/>
      <c r="C364" s="62"/>
      <c r="E364" s="61"/>
    </row>
    <row r="365" ht="22.5" customHeight="1">
      <c r="B365" s="62"/>
      <c r="C365" s="62"/>
      <c r="E365" s="61"/>
    </row>
    <row r="366" ht="22.5" customHeight="1">
      <c r="B366" s="62"/>
      <c r="C366" s="62"/>
      <c r="E366" s="61"/>
    </row>
    <row r="367" ht="22.5" customHeight="1">
      <c r="B367" s="62"/>
      <c r="C367" s="62"/>
      <c r="E367" s="61"/>
    </row>
    <row r="368" ht="22.5" customHeight="1">
      <c r="B368" s="62"/>
      <c r="C368" s="62"/>
      <c r="E368" s="61"/>
    </row>
    <row r="369" ht="22.5" customHeight="1">
      <c r="B369" s="62"/>
      <c r="C369" s="62"/>
      <c r="E369" s="61"/>
    </row>
    <row r="370" ht="22.5" customHeight="1">
      <c r="B370" s="62"/>
      <c r="C370" s="62"/>
      <c r="E370" s="61"/>
    </row>
    <row r="371" ht="22.5" customHeight="1">
      <c r="B371" s="62"/>
      <c r="C371" s="62"/>
      <c r="E371" s="61"/>
    </row>
    <row r="372" ht="22.5" customHeight="1">
      <c r="B372" s="62"/>
      <c r="C372" s="62"/>
      <c r="E372" s="61"/>
    </row>
    <row r="373" ht="22.5" customHeight="1">
      <c r="B373" s="62"/>
      <c r="C373" s="62"/>
      <c r="E373" s="61"/>
    </row>
    <row r="374" ht="22.5" customHeight="1">
      <c r="B374" s="62"/>
      <c r="C374" s="62"/>
      <c r="E374" s="61"/>
    </row>
    <row r="375" ht="22.5" customHeight="1">
      <c r="B375" s="62"/>
      <c r="C375" s="62"/>
      <c r="E375" s="61"/>
    </row>
    <row r="376" ht="22.5" customHeight="1">
      <c r="B376" s="62"/>
      <c r="C376" s="62"/>
      <c r="E376" s="61"/>
    </row>
    <row r="377" ht="22.5" customHeight="1">
      <c r="B377" s="62"/>
      <c r="C377" s="62"/>
      <c r="E377" s="61"/>
    </row>
    <row r="378" ht="22.5" customHeight="1">
      <c r="B378" s="62"/>
      <c r="C378" s="62"/>
      <c r="E378" s="61"/>
    </row>
    <row r="379" ht="22.5" customHeight="1">
      <c r="B379" s="62"/>
      <c r="C379" s="62"/>
      <c r="E379" s="61"/>
    </row>
    <row r="380" ht="22.5" customHeight="1">
      <c r="B380" s="62"/>
      <c r="C380" s="62"/>
      <c r="E380" s="61"/>
    </row>
    <row r="381" ht="22.5" customHeight="1">
      <c r="B381" s="62"/>
      <c r="C381" s="62"/>
      <c r="E381" s="61"/>
    </row>
    <row r="382" ht="22.5" customHeight="1">
      <c r="B382" s="62"/>
      <c r="C382" s="62"/>
      <c r="E382" s="61"/>
    </row>
    <row r="383" ht="22.5" customHeight="1">
      <c r="B383" s="62"/>
      <c r="C383" s="62"/>
      <c r="E383" s="61"/>
    </row>
    <row r="384" ht="22.5" customHeight="1">
      <c r="B384" s="62"/>
      <c r="C384" s="62"/>
      <c r="E384" s="61"/>
    </row>
    <row r="385" ht="22.5" customHeight="1">
      <c r="B385" s="62"/>
      <c r="C385" s="62"/>
      <c r="E385" s="61"/>
    </row>
    <row r="386" ht="22.5" customHeight="1">
      <c r="B386" s="62"/>
      <c r="C386" s="62"/>
      <c r="E386" s="61"/>
    </row>
    <row r="387" ht="22.5" customHeight="1">
      <c r="B387" s="62"/>
      <c r="C387" s="62"/>
      <c r="E387" s="61"/>
    </row>
    <row r="388" ht="22.5" customHeight="1">
      <c r="B388" s="62"/>
      <c r="C388" s="62"/>
      <c r="E388" s="61"/>
    </row>
    <row r="389" ht="22.5" customHeight="1">
      <c r="B389" s="62"/>
      <c r="C389" s="62"/>
      <c r="E389" s="61"/>
    </row>
    <row r="390" ht="22.5" customHeight="1">
      <c r="B390" s="62"/>
      <c r="C390" s="62"/>
      <c r="E390" s="61"/>
    </row>
    <row r="391" ht="22.5" customHeight="1">
      <c r="B391" s="62"/>
      <c r="C391" s="62"/>
      <c r="E391" s="61"/>
    </row>
    <row r="392" ht="22.5" customHeight="1">
      <c r="B392" s="62"/>
      <c r="C392" s="62"/>
      <c r="E392" s="61"/>
    </row>
    <row r="393" ht="22.5" customHeight="1">
      <c r="B393" s="62"/>
      <c r="C393" s="62"/>
      <c r="E393" s="61"/>
    </row>
    <row r="394" ht="22.5" customHeight="1">
      <c r="B394" s="62"/>
      <c r="C394" s="62"/>
      <c r="E394" s="61"/>
    </row>
    <row r="395" ht="22.5" customHeight="1">
      <c r="B395" s="62"/>
      <c r="C395" s="62"/>
      <c r="E395" s="61"/>
    </row>
    <row r="396" ht="22.5" customHeight="1">
      <c r="B396" s="62"/>
      <c r="C396" s="62"/>
      <c r="E396" s="61"/>
    </row>
    <row r="397" ht="22.5" customHeight="1">
      <c r="B397" s="62"/>
      <c r="C397" s="62"/>
      <c r="E397" s="61"/>
    </row>
    <row r="398" ht="22.5" customHeight="1">
      <c r="B398" s="62"/>
      <c r="C398" s="62"/>
      <c r="E398" s="61"/>
    </row>
    <row r="399" ht="22.5" customHeight="1">
      <c r="B399" s="62"/>
      <c r="C399" s="62"/>
      <c r="E399" s="61"/>
    </row>
    <row r="400" ht="22.5" customHeight="1">
      <c r="B400" s="62"/>
      <c r="C400" s="62"/>
      <c r="E400" s="61"/>
    </row>
    <row r="401" ht="22.5" customHeight="1">
      <c r="B401" s="62"/>
      <c r="C401" s="62"/>
      <c r="E401" s="61"/>
    </row>
    <row r="402" ht="22.5" customHeight="1">
      <c r="B402" s="62"/>
      <c r="C402" s="62"/>
      <c r="E402" s="61"/>
    </row>
    <row r="403" ht="22.5" customHeight="1">
      <c r="B403" s="62"/>
      <c r="C403" s="62"/>
      <c r="E403" s="61"/>
    </row>
    <row r="404" ht="22.5" customHeight="1">
      <c r="B404" s="62"/>
      <c r="C404" s="62"/>
      <c r="E404" s="61"/>
    </row>
    <row r="405" ht="22.5" customHeight="1">
      <c r="B405" s="62"/>
      <c r="C405" s="62"/>
      <c r="E405" s="61"/>
    </row>
    <row r="406" ht="22.5" customHeight="1">
      <c r="B406" s="62"/>
      <c r="C406" s="62"/>
      <c r="E406" s="61"/>
    </row>
    <row r="407" ht="22.5" customHeight="1">
      <c r="B407" s="62"/>
      <c r="C407" s="62"/>
      <c r="E407" s="61"/>
    </row>
    <row r="408" ht="22.5" customHeight="1">
      <c r="B408" s="62"/>
      <c r="C408" s="62"/>
      <c r="E408" s="61"/>
    </row>
    <row r="409" ht="22.5" customHeight="1">
      <c r="B409" s="62"/>
      <c r="C409" s="62"/>
      <c r="E409" s="61"/>
    </row>
    <row r="410" ht="22.5" customHeight="1">
      <c r="B410" s="62"/>
      <c r="C410" s="62"/>
      <c r="E410" s="61"/>
    </row>
    <row r="411" ht="22.5" customHeight="1">
      <c r="B411" s="62"/>
      <c r="C411" s="62"/>
      <c r="E411" s="61"/>
    </row>
    <row r="412" ht="22.5" customHeight="1">
      <c r="B412" s="62"/>
      <c r="C412" s="62"/>
      <c r="E412" s="61"/>
    </row>
    <row r="413" ht="22.5" customHeight="1">
      <c r="B413" s="62"/>
      <c r="C413" s="62"/>
      <c r="E413" s="61"/>
    </row>
    <row r="414" ht="22.5" customHeight="1">
      <c r="B414" s="62"/>
      <c r="C414" s="62"/>
      <c r="E414" s="61"/>
    </row>
    <row r="415" ht="22.5" customHeight="1">
      <c r="B415" s="62"/>
      <c r="C415" s="62"/>
      <c r="E415" s="61"/>
    </row>
    <row r="416" ht="22.5" customHeight="1">
      <c r="B416" s="62"/>
      <c r="C416" s="62"/>
      <c r="E416" s="61"/>
    </row>
    <row r="417" ht="22.5" customHeight="1">
      <c r="B417" s="62"/>
      <c r="C417" s="62"/>
      <c r="E417" s="61"/>
    </row>
    <row r="418" ht="22.5" customHeight="1">
      <c r="B418" s="62"/>
      <c r="C418" s="62"/>
      <c r="E418" s="61"/>
    </row>
    <row r="419" ht="22.5" customHeight="1">
      <c r="B419" s="62"/>
      <c r="C419" s="62"/>
      <c r="E419" s="61"/>
    </row>
    <row r="420" ht="22.5" customHeight="1">
      <c r="B420" s="62"/>
      <c r="C420" s="62"/>
      <c r="E420" s="61"/>
    </row>
    <row r="421" ht="22.5" customHeight="1">
      <c r="B421" s="62"/>
      <c r="C421" s="62"/>
      <c r="E421" s="61"/>
    </row>
    <row r="422" ht="22.5" customHeight="1">
      <c r="B422" s="62"/>
      <c r="C422" s="62"/>
      <c r="E422" s="61"/>
    </row>
    <row r="423" ht="22.5" customHeight="1">
      <c r="B423" s="62"/>
      <c r="C423" s="62"/>
      <c r="E423" s="61"/>
    </row>
    <row r="424" ht="22.5" customHeight="1">
      <c r="B424" s="62"/>
      <c r="C424" s="62"/>
      <c r="E424" s="61"/>
    </row>
    <row r="425" ht="22.5" customHeight="1">
      <c r="B425" s="62"/>
      <c r="C425" s="62"/>
      <c r="E425" s="61"/>
    </row>
    <row r="426" ht="22.5" customHeight="1">
      <c r="B426" s="62"/>
      <c r="C426" s="62"/>
      <c r="E426" s="61"/>
    </row>
    <row r="427" ht="22.5" customHeight="1">
      <c r="B427" s="62"/>
      <c r="C427" s="62"/>
      <c r="E427" s="61"/>
    </row>
    <row r="428" ht="22.5" customHeight="1">
      <c r="B428" s="62"/>
      <c r="C428" s="62"/>
      <c r="E428" s="61"/>
    </row>
    <row r="429" ht="22.5" customHeight="1">
      <c r="B429" s="62"/>
      <c r="C429" s="62"/>
      <c r="E429" s="61"/>
    </row>
    <row r="430" ht="22.5" customHeight="1">
      <c r="B430" s="62"/>
      <c r="C430" s="62"/>
      <c r="E430" s="61"/>
    </row>
    <row r="431" ht="22.5" customHeight="1">
      <c r="B431" s="62"/>
      <c r="C431" s="62"/>
      <c r="E431" s="61"/>
    </row>
    <row r="432" ht="22.5" customHeight="1">
      <c r="B432" s="62"/>
      <c r="C432" s="62"/>
      <c r="E432" s="61"/>
    </row>
    <row r="433" ht="22.5" customHeight="1">
      <c r="B433" s="62"/>
      <c r="C433" s="62"/>
      <c r="E433" s="61"/>
    </row>
    <row r="434" ht="22.5" customHeight="1">
      <c r="B434" s="62"/>
      <c r="C434" s="62"/>
      <c r="E434" s="61"/>
    </row>
    <row r="435" ht="22.5" customHeight="1">
      <c r="B435" s="62"/>
      <c r="C435" s="62"/>
      <c r="E435" s="61"/>
    </row>
    <row r="436" ht="22.5" customHeight="1">
      <c r="B436" s="62"/>
      <c r="C436" s="62"/>
      <c r="E436" s="61"/>
    </row>
    <row r="437" ht="22.5" customHeight="1">
      <c r="B437" s="62"/>
      <c r="C437" s="62"/>
      <c r="E437" s="61"/>
    </row>
    <row r="438" ht="22.5" customHeight="1">
      <c r="B438" s="62"/>
      <c r="C438" s="62"/>
      <c r="E438" s="61"/>
    </row>
    <row r="439" ht="22.5" customHeight="1">
      <c r="B439" s="62"/>
      <c r="C439" s="62"/>
      <c r="E439" s="61"/>
    </row>
    <row r="440" ht="22.5" customHeight="1">
      <c r="B440" s="62"/>
      <c r="C440" s="62"/>
      <c r="E440" s="61"/>
    </row>
    <row r="441" ht="22.5" customHeight="1">
      <c r="B441" s="62"/>
      <c r="C441" s="62"/>
      <c r="E441" s="61"/>
    </row>
    <row r="442" ht="22.5" customHeight="1">
      <c r="B442" s="62"/>
      <c r="C442" s="62"/>
      <c r="E442" s="61"/>
    </row>
    <row r="443" ht="22.5" customHeight="1">
      <c r="B443" s="62"/>
      <c r="C443" s="62"/>
      <c r="E443" s="61"/>
    </row>
    <row r="444" ht="22.5" customHeight="1">
      <c r="B444" s="62"/>
      <c r="C444" s="62"/>
      <c r="E444" s="61"/>
    </row>
    <row r="445" ht="22.5" customHeight="1">
      <c r="B445" s="62"/>
      <c r="C445" s="62"/>
      <c r="E445" s="61"/>
    </row>
    <row r="446" ht="22.5" customHeight="1">
      <c r="B446" s="62"/>
      <c r="C446" s="62"/>
      <c r="E446" s="61"/>
    </row>
    <row r="447" ht="22.5" customHeight="1">
      <c r="B447" s="62"/>
      <c r="C447" s="62"/>
      <c r="E447" s="61"/>
    </row>
    <row r="448" ht="22.5" customHeight="1">
      <c r="B448" s="62"/>
      <c r="C448" s="62"/>
      <c r="E448" s="61"/>
    </row>
    <row r="449" ht="22.5" customHeight="1">
      <c r="B449" s="62"/>
      <c r="C449" s="62"/>
      <c r="E449" s="61"/>
    </row>
    <row r="450" ht="22.5" customHeight="1">
      <c r="B450" s="62"/>
      <c r="C450" s="62"/>
      <c r="E450" s="61"/>
    </row>
    <row r="451" ht="22.5" customHeight="1">
      <c r="B451" s="62"/>
      <c r="C451" s="62"/>
      <c r="E451" s="61"/>
    </row>
    <row r="452" ht="22.5" customHeight="1">
      <c r="B452" s="62"/>
      <c r="C452" s="62"/>
      <c r="E452" s="61"/>
    </row>
    <row r="453" ht="22.5" customHeight="1">
      <c r="B453" s="62"/>
      <c r="C453" s="62"/>
      <c r="E453" s="61"/>
    </row>
    <row r="454" ht="22.5" customHeight="1">
      <c r="B454" s="62"/>
      <c r="C454" s="62"/>
      <c r="E454" s="61"/>
    </row>
    <row r="455" ht="22.5" customHeight="1">
      <c r="B455" s="62"/>
      <c r="C455" s="62"/>
      <c r="E455" s="61"/>
    </row>
    <row r="456" ht="22.5" customHeight="1">
      <c r="B456" s="62"/>
      <c r="C456" s="62"/>
      <c r="E456" s="61"/>
    </row>
    <row r="457" ht="22.5" customHeight="1">
      <c r="B457" s="62"/>
      <c r="C457" s="62"/>
      <c r="E457" s="61"/>
    </row>
    <row r="458" ht="22.5" customHeight="1">
      <c r="B458" s="62"/>
      <c r="C458" s="62"/>
      <c r="E458" s="61"/>
    </row>
    <row r="459" ht="22.5" customHeight="1">
      <c r="B459" s="62"/>
      <c r="C459" s="62"/>
      <c r="E459" s="61"/>
    </row>
    <row r="460" ht="22.5" customHeight="1">
      <c r="B460" s="62"/>
      <c r="C460" s="62"/>
      <c r="E460" s="61"/>
    </row>
    <row r="461" ht="22.5" customHeight="1">
      <c r="B461" s="62"/>
      <c r="C461" s="62"/>
      <c r="E461" s="61"/>
    </row>
    <row r="462" ht="22.5" customHeight="1">
      <c r="B462" s="62"/>
      <c r="C462" s="62"/>
      <c r="E462" s="61"/>
    </row>
    <row r="463" ht="22.5" customHeight="1">
      <c r="B463" s="62"/>
      <c r="C463" s="62"/>
      <c r="E463" s="61"/>
    </row>
    <row r="464" ht="22.5" customHeight="1">
      <c r="B464" s="62"/>
      <c r="C464" s="62"/>
      <c r="E464" s="61"/>
    </row>
    <row r="465" ht="22.5" customHeight="1">
      <c r="B465" s="62"/>
      <c r="C465" s="62"/>
      <c r="E465" s="61"/>
    </row>
    <row r="466" ht="22.5" customHeight="1">
      <c r="B466" s="62"/>
      <c r="C466" s="62"/>
      <c r="E466" s="61"/>
    </row>
    <row r="467" ht="22.5" customHeight="1">
      <c r="B467" s="62"/>
      <c r="C467" s="62"/>
      <c r="E467" s="61"/>
    </row>
    <row r="468" ht="22.5" customHeight="1">
      <c r="B468" s="62"/>
      <c r="C468" s="62"/>
      <c r="E468" s="61"/>
    </row>
    <row r="469" ht="22.5" customHeight="1">
      <c r="B469" s="62"/>
      <c r="C469" s="62"/>
      <c r="E469" s="61"/>
    </row>
    <row r="470" ht="22.5" customHeight="1">
      <c r="B470" s="62"/>
      <c r="C470" s="62"/>
      <c r="E470" s="61"/>
    </row>
    <row r="471" ht="22.5" customHeight="1">
      <c r="B471" s="62"/>
      <c r="C471" s="62"/>
      <c r="E471" s="61"/>
    </row>
    <row r="472" ht="22.5" customHeight="1">
      <c r="B472" s="62"/>
      <c r="C472" s="62"/>
      <c r="E472" s="61"/>
    </row>
    <row r="473" ht="22.5" customHeight="1">
      <c r="B473" s="62"/>
      <c r="C473" s="62"/>
      <c r="E473" s="61"/>
    </row>
    <row r="474" ht="22.5" customHeight="1">
      <c r="B474" s="62"/>
      <c r="C474" s="62"/>
      <c r="E474" s="61"/>
    </row>
    <row r="475" ht="22.5" customHeight="1">
      <c r="B475" s="62"/>
      <c r="C475" s="62"/>
      <c r="E475" s="61"/>
    </row>
    <row r="476" ht="22.5" customHeight="1">
      <c r="B476" s="62"/>
      <c r="C476" s="62"/>
      <c r="E476" s="61"/>
    </row>
    <row r="477" ht="22.5" customHeight="1">
      <c r="B477" s="62"/>
      <c r="C477" s="62"/>
      <c r="E477" s="61"/>
    </row>
    <row r="478" ht="22.5" customHeight="1">
      <c r="B478" s="62"/>
      <c r="C478" s="62"/>
      <c r="E478" s="61"/>
    </row>
    <row r="479" ht="22.5" customHeight="1">
      <c r="B479" s="62"/>
      <c r="C479" s="62"/>
      <c r="E479" s="61"/>
    </row>
    <row r="480" ht="22.5" customHeight="1">
      <c r="B480" s="62"/>
      <c r="C480" s="62"/>
      <c r="E480" s="61"/>
    </row>
    <row r="481" ht="22.5" customHeight="1">
      <c r="B481" s="62"/>
      <c r="C481" s="62"/>
      <c r="E481" s="61"/>
    </row>
    <row r="482" ht="22.5" customHeight="1">
      <c r="B482" s="62"/>
      <c r="C482" s="62"/>
      <c r="E482" s="61"/>
    </row>
    <row r="483" ht="22.5" customHeight="1">
      <c r="B483" s="62"/>
      <c r="C483" s="62"/>
      <c r="E483" s="61"/>
    </row>
    <row r="484" ht="22.5" customHeight="1">
      <c r="B484" s="62"/>
      <c r="C484" s="62"/>
      <c r="E484" s="61"/>
    </row>
    <row r="485" ht="22.5" customHeight="1">
      <c r="B485" s="62"/>
      <c r="C485" s="62"/>
      <c r="E485" s="61"/>
    </row>
    <row r="486" ht="22.5" customHeight="1">
      <c r="B486" s="62"/>
      <c r="C486" s="62"/>
      <c r="E486" s="61"/>
    </row>
    <row r="487" ht="22.5" customHeight="1">
      <c r="B487" s="62"/>
      <c r="C487" s="62"/>
      <c r="E487" s="61"/>
    </row>
    <row r="488" ht="22.5" customHeight="1">
      <c r="B488" s="62"/>
      <c r="C488" s="62"/>
      <c r="E488" s="61"/>
    </row>
    <row r="489" ht="22.5" customHeight="1">
      <c r="B489" s="62"/>
      <c r="C489" s="62"/>
      <c r="E489" s="61"/>
    </row>
    <row r="490" ht="22.5" customHeight="1">
      <c r="B490" s="62"/>
      <c r="C490" s="62"/>
      <c r="E490" s="61"/>
    </row>
    <row r="491" ht="22.5" customHeight="1">
      <c r="B491" s="62"/>
      <c r="C491" s="62"/>
      <c r="E491" s="61"/>
    </row>
    <row r="492" ht="22.5" customHeight="1">
      <c r="B492" s="62"/>
      <c r="C492" s="62"/>
      <c r="E492" s="61"/>
    </row>
    <row r="493" ht="22.5" customHeight="1">
      <c r="B493" s="62"/>
      <c r="C493" s="62"/>
      <c r="E493" s="61"/>
    </row>
    <row r="494" ht="22.5" customHeight="1">
      <c r="B494" s="62"/>
      <c r="C494" s="62"/>
      <c r="E494" s="61"/>
    </row>
    <row r="495" ht="22.5" customHeight="1">
      <c r="B495" s="62"/>
      <c r="C495" s="62"/>
      <c r="E495" s="61"/>
    </row>
    <row r="496" ht="22.5" customHeight="1">
      <c r="B496" s="62"/>
      <c r="C496" s="62"/>
      <c r="E496" s="61"/>
    </row>
    <row r="497" ht="22.5" customHeight="1">
      <c r="B497" s="62"/>
      <c r="C497" s="62"/>
      <c r="E497" s="61"/>
    </row>
    <row r="498" ht="22.5" customHeight="1">
      <c r="B498" s="62"/>
      <c r="C498" s="62"/>
      <c r="E498" s="61"/>
    </row>
    <row r="499" ht="22.5" customHeight="1">
      <c r="B499" s="62"/>
      <c r="C499" s="62"/>
      <c r="E499" s="61"/>
    </row>
    <row r="500" ht="22.5" customHeight="1">
      <c r="B500" s="62"/>
      <c r="C500" s="62"/>
      <c r="E500" s="61"/>
    </row>
    <row r="501" ht="22.5" customHeight="1">
      <c r="B501" s="62"/>
      <c r="C501" s="62"/>
      <c r="E501" s="61"/>
    </row>
    <row r="502" ht="22.5" customHeight="1">
      <c r="B502" s="62"/>
      <c r="C502" s="62"/>
      <c r="E502" s="61"/>
    </row>
    <row r="503" ht="22.5" customHeight="1">
      <c r="B503" s="62"/>
      <c r="C503" s="62"/>
      <c r="E503" s="61"/>
    </row>
    <row r="504" ht="22.5" customHeight="1">
      <c r="B504" s="62"/>
      <c r="C504" s="62"/>
      <c r="E504" s="61"/>
    </row>
    <row r="505" ht="22.5" customHeight="1">
      <c r="B505" s="62"/>
      <c r="C505" s="62"/>
      <c r="E505" s="61"/>
    </row>
    <row r="506" ht="22.5" customHeight="1">
      <c r="B506" s="62"/>
      <c r="C506" s="62"/>
      <c r="E506" s="61"/>
    </row>
    <row r="507" ht="22.5" customHeight="1">
      <c r="B507" s="62"/>
      <c r="C507" s="62"/>
      <c r="E507" s="61"/>
    </row>
    <row r="508" ht="22.5" customHeight="1">
      <c r="B508" s="62"/>
      <c r="C508" s="62"/>
      <c r="E508" s="61"/>
    </row>
    <row r="509" ht="22.5" customHeight="1">
      <c r="B509" s="62"/>
      <c r="C509" s="62"/>
      <c r="E509" s="61"/>
    </row>
    <row r="510" ht="22.5" customHeight="1">
      <c r="B510" s="62"/>
      <c r="C510" s="62"/>
      <c r="E510" s="61"/>
    </row>
    <row r="511" ht="22.5" customHeight="1">
      <c r="B511" s="62"/>
      <c r="C511" s="62"/>
      <c r="E511" s="61"/>
    </row>
    <row r="512" ht="22.5" customHeight="1">
      <c r="B512" s="62"/>
      <c r="C512" s="62"/>
      <c r="E512" s="61"/>
    </row>
    <row r="513" ht="22.5" customHeight="1">
      <c r="B513" s="62"/>
      <c r="C513" s="62"/>
      <c r="E513" s="61"/>
    </row>
    <row r="514" ht="22.5" customHeight="1">
      <c r="B514" s="62"/>
      <c r="C514" s="62"/>
      <c r="E514" s="61"/>
    </row>
    <row r="515" ht="22.5" customHeight="1">
      <c r="B515" s="62"/>
      <c r="C515" s="62"/>
      <c r="E515" s="61"/>
    </row>
    <row r="516" ht="22.5" customHeight="1">
      <c r="B516" s="62"/>
      <c r="C516" s="62"/>
      <c r="E516" s="61"/>
    </row>
    <row r="517" ht="22.5" customHeight="1">
      <c r="B517" s="62"/>
      <c r="C517" s="62"/>
      <c r="E517" s="61"/>
    </row>
    <row r="518" ht="22.5" customHeight="1">
      <c r="B518" s="62"/>
      <c r="C518" s="62"/>
      <c r="E518" s="61"/>
    </row>
    <row r="519" ht="22.5" customHeight="1">
      <c r="B519" s="62"/>
      <c r="C519" s="62"/>
      <c r="E519" s="61"/>
    </row>
    <row r="520" ht="22.5" customHeight="1">
      <c r="B520" s="62"/>
      <c r="C520" s="62"/>
      <c r="E520" s="61"/>
    </row>
    <row r="521" ht="22.5" customHeight="1">
      <c r="B521" s="62"/>
      <c r="C521" s="62"/>
      <c r="E521" s="61"/>
    </row>
    <row r="522" ht="22.5" customHeight="1">
      <c r="B522" s="62"/>
      <c r="C522" s="62"/>
      <c r="E522" s="61"/>
    </row>
    <row r="523" ht="22.5" customHeight="1">
      <c r="B523" s="62"/>
      <c r="C523" s="62"/>
      <c r="E523" s="61"/>
    </row>
    <row r="524" ht="22.5" customHeight="1">
      <c r="B524" s="62"/>
      <c r="C524" s="62"/>
      <c r="E524" s="61"/>
    </row>
    <row r="525" ht="22.5" customHeight="1">
      <c r="B525" s="62"/>
      <c r="C525" s="62"/>
      <c r="E525" s="61"/>
    </row>
    <row r="526" ht="22.5" customHeight="1">
      <c r="B526" s="62"/>
      <c r="C526" s="62"/>
      <c r="E526" s="61"/>
    </row>
    <row r="527" ht="22.5" customHeight="1">
      <c r="B527" s="62"/>
      <c r="C527" s="62"/>
      <c r="E527" s="61"/>
    </row>
    <row r="528" ht="22.5" customHeight="1">
      <c r="B528" s="62"/>
      <c r="C528" s="62"/>
      <c r="E528" s="61"/>
    </row>
    <row r="529" ht="22.5" customHeight="1">
      <c r="B529" s="62"/>
      <c r="C529" s="62"/>
      <c r="E529" s="61"/>
    </row>
    <row r="530" ht="22.5" customHeight="1">
      <c r="B530" s="62"/>
      <c r="C530" s="62"/>
      <c r="E530" s="61"/>
    </row>
    <row r="531" ht="22.5" customHeight="1">
      <c r="B531" s="62"/>
      <c r="C531" s="62"/>
      <c r="E531" s="61"/>
    </row>
    <row r="532" ht="22.5" customHeight="1">
      <c r="B532" s="62"/>
      <c r="C532" s="62"/>
      <c r="E532" s="61"/>
    </row>
    <row r="533" ht="22.5" customHeight="1">
      <c r="B533" s="62"/>
      <c r="C533" s="62"/>
      <c r="E533" s="61"/>
    </row>
    <row r="534" ht="22.5" customHeight="1">
      <c r="B534" s="62"/>
      <c r="C534" s="62"/>
      <c r="E534" s="61"/>
    </row>
    <row r="535" ht="22.5" customHeight="1">
      <c r="B535" s="62"/>
      <c r="C535" s="62"/>
      <c r="E535" s="61"/>
    </row>
    <row r="536" ht="22.5" customHeight="1">
      <c r="B536" s="62"/>
      <c r="C536" s="62"/>
      <c r="E536" s="61"/>
    </row>
    <row r="537" ht="22.5" customHeight="1">
      <c r="B537" s="62"/>
      <c r="C537" s="62"/>
      <c r="E537" s="61"/>
    </row>
    <row r="538" ht="22.5" customHeight="1">
      <c r="B538" s="62"/>
      <c r="C538" s="62"/>
      <c r="E538" s="61"/>
    </row>
    <row r="539" ht="22.5" customHeight="1">
      <c r="B539" s="62"/>
      <c r="C539" s="62"/>
      <c r="E539" s="61"/>
    </row>
    <row r="540" ht="22.5" customHeight="1">
      <c r="B540" s="62"/>
      <c r="C540" s="62"/>
      <c r="E540" s="61"/>
    </row>
    <row r="541" ht="22.5" customHeight="1">
      <c r="B541" s="62"/>
      <c r="C541" s="62"/>
      <c r="E541" s="61"/>
    </row>
    <row r="542" ht="22.5" customHeight="1">
      <c r="B542" s="62"/>
      <c r="C542" s="62"/>
      <c r="E542" s="61"/>
    </row>
    <row r="543" ht="22.5" customHeight="1">
      <c r="B543" s="62"/>
      <c r="C543" s="62"/>
      <c r="E543" s="61"/>
    </row>
    <row r="544" ht="22.5" customHeight="1">
      <c r="B544" s="62"/>
      <c r="C544" s="62"/>
      <c r="E544" s="61"/>
    </row>
    <row r="545" ht="22.5" customHeight="1">
      <c r="B545" s="62"/>
      <c r="C545" s="62"/>
      <c r="E545" s="61"/>
    </row>
    <row r="546" ht="22.5" customHeight="1">
      <c r="B546" s="62"/>
      <c r="C546" s="62"/>
      <c r="E546" s="61"/>
    </row>
    <row r="547" ht="22.5" customHeight="1">
      <c r="B547" s="62"/>
      <c r="C547" s="62"/>
      <c r="E547" s="61"/>
    </row>
    <row r="548" ht="22.5" customHeight="1">
      <c r="B548" s="62"/>
      <c r="C548" s="62"/>
      <c r="E548" s="61"/>
    </row>
    <row r="549" ht="22.5" customHeight="1">
      <c r="B549" s="62"/>
      <c r="C549" s="62"/>
      <c r="E549" s="61"/>
    </row>
    <row r="550" ht="22.5" customHeight="1">
      <c r="B550" s="62"/>
      <c r="C550" s="62"/>
      <c r="E550" s="61"/>
    </row>
    <row r="551" ht="22.5" customHeight="1">
      <c r="B551" s="62"/>
      <c r="C551" s="62"/>
      <c r="E551" s="61"/>
    </row>
    <row r="552" ht="22.5" customHeight="1">
      <c r="B552" s="62"/>
      <c r="C552" s="62"/>
      <c r="E552" s="61"/>
    </row>
    <row r="553" ht="22.5" customHeight="1">
      <c r="B553" s="62"/>
      <c r="C553" s="62"/>
      <c r="E553" s="61"/>
    </row>
    <row r="554" ht="22.5" customHeight="1">
      <c r="B554" s="62"/>
      <c r="C554" s="62"/>
      <c r="E554" s="61"/>
    </row>
    <row r="555" ht="22.5" customHeight="1">
      <c r="B555" s="62"/>
      <c r="C555" s="62"/>
      <c r="E555" s="61"/>
    </row>
    <row r="556" ht="22.5" customHeight="1">
      <c r="B556" s="62"/>
      <c r="C556" s="62"/>
      <c r="E556" s="61"/>
    </row>
    <row r="557" ht="22.5" customHeight="1">
      <c r="B557" s="62"/>
      <c r="C557" s="62"/>
      <c r="E557" s="61"/>
    </row>
    <row r="558" ht="22.5" customHeight="1">
      <c r="B558" s="62"/>
      <c r="C558" s="62"/>
      <c r="E558" s="61"/>
    </row>
    <row r="559" ht="22.5" customHeight="1">
      <c r="B559" s="62"/>
      <c r="C559" s="62"/>
      <c r="E559" s="61"/>
    </row>
    <row r="560" ht="22.5" customHeight="1">
      <c r="B560" s="62"/>
      <c r="C560" s="62"/>
      <c r="E560" s="61"/>
    </row>
    <row r="561" ht="22.5" customHeight="1">
      <c r="B561" s="62"/>
      <c r="C561" s="62"/>
      <c r="E561" s="61"/>
    </row>
    <row r="562" ht="22.5" customHeight="1">
      <c r="B562" s="62"/>
      <c r="C562" s="62"/>
      <c r="E562" s="61"/>
    </row>
    <row r="563" ht="22.5" customHeight="1">
      <c r="B563" s="62"/>
      <c r="C563" s="62"/>
      <c r="E563" s="61"/>
    </row>
    <row r="564" ht="22.5" customHeight="1">
      <c r="B564" s="62"/>
      <c r="C564" s="62"/>
      <c r="E564" s="61"/>
    </row>
    <row r="565" ht="22.5" customHeight="1">
      <c r="B565" s="62"/>
      <c r="C565" s="62"/>
      <c r="E565" s="61"/>
    </row>
    <row r="566" ht="22.5" customHeight="1">
      <c r="B566" s="62"/>
      <c r="C566" s="62"/>
      <c r="E566" s="61"/>
    </row>
    <row r="567" ht="22.5" customHeight="1">
      <c r="B567" s="62"/>
      <c r="C567" s="62"/>
      <c r="E567" s="61"/>
    </row>
    <row r="568" ht="22.5" customHeight="1">
      <c r="B568" s="62"/>
      <c r="C568" s="62"/>
      <c r="E568" s="61"/>
    </row>
    <row r="569" ht="22.5" customHeight="1">
      <c r="B569" s="62"/>
      <c r="C569" s="62"/>
      <c r="E569" s="61"/>
    </row>
    <row r="570" ht="22.5" customHeight="1">
      <c r="B570" s="62"/>
      <c r="C570" s="62"/>
      <c r="E570" s="61"/>
    </row>
    <row r="571" ht="22.5" customHeight="1">
      <c r="B571" s="62"/>
      <c r="C571" s="62"/>
      <c r="E571" s="61"/>
    </row>
    <row r="572" ht="22.5" customHeight="1">
      <c r="B572" s="62"/>
      <c r="C572" s="62"/>
      <c r="E572" s="61"/>
    </row>
    <row r="573" ht="22.5" customHeight="1">
      <c r="B573" s="62"/>
      <c r="C573" s="62"/>
      <c r="E573" s="61"/>
    </row>
    <row r="574" ht="22.5" customHeight="1">
      <c r="B574" s="62"/>
      <c r="C574" s="62"/>
      <c r="E574" s="61"/>
    </row>
    <row r="575" ht="22.5" customHeight="1">
      <c r="B575" s="62"/>
      <c r="C575" s="62"/>
      <c r="E575" s="61"/>
    </row>
    <row r="576" ht="22.5" customHeight="1">
      <c r="B576" s="62"/>
      <c r="C576" s="62"/>
      <c r="E576" s="61"/>
    </row>
    <row r="577" ht="22.5" customHeight="1">
      <c r="B577" s="62"/>
      <c r="C577" s="62"/>
      <c r="E577" s="61"/>
    </row>
    <row r="578" ht="22.5" customHeight="1">
      <c r="B578" s="62"/>
      <c r="C578" s="62"/>
      <c r="E578" s="61"/>
    </row>
    <row r="579" ht="22.5" customHeight="1">
      <c r="B579" s="62"/>
      <c r="C579" s="62"/>
      <c r="E579" s="61"/>
    </row>
    <row r="580" ht="22.5" customHeight="1">
      <c r="B580" s="62"/>
      <c r="C580" s="62"/>
      <c r="E580" s="61"/>
    </row>
    <row r="581" ht="22.5" customHeight="1">
      <c r="B581" s="62"/>
      <c r="C581" s="62"/>
      <c r="E581" s="61"/>
    </row>
    <row r="582" ht="22.5" customHeight="1">
      <c r="B582" s="62"/>
      <c r="C582" s="62"/>
      <c r="E582" s="61"/>
    </row>
    <row r="583" ht="22.5" customHeight="1">
      <c r="B583" s="62"/>
      <c r="C583" s="62"/>
      <c r="E583" s="61"/>
    </row>
    <row r="584" ht="22.5" customHeight="1">
      <c r="B584" s="62"/>
      <c r="C584" s="62"/>
      <c r="E584" s="61"/>
    </row>
    <row r="585" ht="22.5" customHeight="1">
      <c r="B585" s="62"/>
      <c r="C585" s="62"/>
      <c r="E585" s="61"/>
    </row>
    <row r="586" ht="22.5" customHeight="1">
      <c r="B586" s="62"/>
      <c r="C586" s="62"/>
      <c r="E586" s="61"/>
    </row>
    <row r="587" ht="22.5" customHeight="1">
      <c r="B587" s="62"/>
      <c r="C587" s="62"/>
      <c r="E587" s="61"/>
    </row>
    <row r="588" ht="22.5" customHeight="1">
      <c r="B588" s="62"/>
      <c r="C588" s="62"/>
      <c r="E588" s="61"/>
    </row>
    <row r="589" ht="22.5" customHeight="1">
      <c r="B589" s="62"/>
      <c r="C589" s="62"/>
      <c r="E589" s="61"/>
    </row>
    <row r="590" ht="22.5" customHeight="1">
      <c r="B590" s="62"/>
      <c r="C590" s="62"/>
      <c r="E590" s="61"/>
    </row>
    <row r="591" ht="22.5" customHeight="1">
      <c r="B591" s="62"/>
      <c r="C591" s="62"/>
      <c r="E591" s="61"/>
    </row>
    <row r="592" ht="22.5" customHeight="1">
      <c r="B592" s="62"/>
      <c r="C592" s="62"/>
      <c r="E592" s="61"/>
    </row>
    <row r="593" ht="22.5" customHeight="1">
      <c r="B593" s="62"/>
      <c r="C593" s="62"/>
      <c r="E593" s="61"/>
    </row>
    <row r="594" ht="22.5" customHeight="1">
      <c r="B594" s="62"/>
      <c r="C594" s="62"/>
      <c r="E594" s="61"/>
    </row>
    <row r="595" ht="22.5" customHeight="1">
      <c r="B595" s="62"/>
      <c r="C595" s="62"/>
      <c r="E595" s="61"/>
    </row>
    <row r="596" ht="22.5" customHeight="1">
      <c r="B596" s="62"/>
      <c r="C596" s="62"/>
      <c r="E596" s="61"/>
    </row>
    <row r="597" ht="22.5" customHeight="1">
      <c r="B597" s="62"/>
      <c r="C597" s="62"/>
      <c r="E597" s="61"/>
    </row>
    <row r="598" ht="22.5" customHeight="1">
      <c r="B598" s="62"/>
      <c r="C598" s="62"/>
      <c r="E598" s="61"/>
    </row>
    <row r="599" ht="22.5" customHeight="1">
      <c r="B599" s="62"/>
      <c r="C599" s="62"/>
      <c r="E599" s="61"/>
    </row>
    <row r="600" ht="22.5" customHeight="1">
      <c r="B600" s="62"/>
      <c r="C600" s="62"/>
      <c r="E600" s="61"/>
    </row>
    <row r="601" ht="22.5" customHeight="1">
      <c r="B601" s="62"/>
      <c r="C601" s="62"/>
      <c r="E601" s="61"/>
    </row>
    <row r="602" ht="22.5" customHeight="1">
      <c r="B602" s="62"/>
      <c r="C602" s="62"/>
      <c r="E602" s="61"/>
    </row>
    <row r="603" ht="22.5" customHeight="1">
      <c r="B603" s="62"/>
      <c r="C603" s="62"/>
      <c r="E603" s="61"/>
    </row>
    <row r="604" ht="22.5" customHeight="1">
      <c r="B604" s="62"/>
      <c r="C604" s="62"/>
      <c r="E604" s="61"/>
    </row>
    <row r="605" ht="22.5" customHeight="1">
      <c r="B605" s="62"/>
      <c r="C605" s="62"/>
      <c r="E605" s="61"/>
    </row>
    <row r="606" ht="22.5" customHeight="1">
      <c r="B606" s="62"/>
      <c r="C606" s="62"/>
      <c r="E606" s="61"/>
    </row>
    <row r="607" ht="22.5" customHeight="1">
      <c r="B607" s="62"/>
      <c r="C607" s="62"/>
      <c r="E607" s="61"/>
    </row>
    <row r="608" ht="22.5" customHeight="1">
      <c r="B608" s="62"/>
      <c r="C608" s="62"/>
      <c r="E608" s="61"/>
    </row>
    <row r="609" ht="22.5" customHeight="1">
      <c r="B609" s="62"/>
      <c r="C609" s="62"/>
      <c r="E609" s="61"/>
    </row>
    <row r="610" ht="22.5" customHeight="1">
      <c r="B610" s="62"/>
      <c r="C610" s="62"/>
      <c r="E610" s="61"/>
    </row>
    <row r="611" ht="22.5" customHeight="1">
      <c r="B611" s="62"/>
      <c r="C611" s="62"/>
      <c r="E611" s="61"/>
    </row>
    <row r="612" ht="22.5" customHeight="1">
      <c r="B612" s="62"/>
      <c r="C612" s="62"/>
      <c r="E612" s="61"/>
    </row>
    <row r="613" ht="22.5" customHeight="1">
      <c r="B613" s="62"/>
      <c r="C613" s="62"/>
      <c r="E613" s="61"/>
    </row>
    <row r="614" ht="22.5" customHeight="1">
      <c r="B614" s="62"/>
      <c r="C614" s="62"/>
      <c r="E614" s="61"/>
    </row>
    <row r="615" ht="22.5" customHeight="1">
      <c r="B615" s="62"/>
      <c r="C615" s="62"/>
      <c r="E615" s="61"/>
    </row>
    <row r="616" ht="22.5" customHeight="1">
      <c r="B616" s="62"/>
      <c r="C616" s="62"/>
      <c r="E616" s="61"/>
    </row>
    <row r="617" ht="22.5" customHeight="1">
      <c r="B617" s="62"/>
      <c r="C617" s="62"/>
      <c r="E617" s="61"/>
    </row>
    <row r="618" ht="22.5" customHeight="1">
      <c r="B618" s="62"/>
      <c r="C618" s="62"/>
      <c r="E618" s="61"/>
    </row>
    <row r="619" ht="22.5" customHeight="1">
      <c r="B619" s="62"/>
      <c r="C619" s="62"/>
      <c r="E619" s="61"/>
    </row>
    <row r="620" ht="22.5" customHeight="1">
      <c r="B620" s="62"/>
      <c r="C620" s="62"/>
      <c r="E620" s="61"/>
    </row>
    <row r="621" ht="22.5" customHeight="1">
      <c r="B621" s="62"/>
      <c r="C621" s="62"/>
      <c r="E621" s="61"/>
    </row>
    <row r="622" ht="22.5" customHeight="1">
      <c r="B622" s="62"/>
      <c r="C622" s="62"/>
      <c r="E622" s="61"/>
    </row>
    <row r="623" ht="22.5" customHeight="1">
      <c r="B623" s="62"/>
      <c r="C623" s="62"/>
      <c r="E623" s="61"/>
    </row>
    <row r="624" ht="22.5" customHeight="1">
      <c r="B624" s="62"/>
      <c r="C624" s="62"/>
      <c r="E624" s="61"/>
    </row>
    <row r="625" ht="22.5" customHeight="1">
      <c r="B625" s="62"/>
      <c r="C625" s="62"/>
      <c r="E625" s="61"/>
    </row>
    <row r="626" ht="22.5" customHeight="1">
      <c r="B626" s="62"/>
      <c r="C626" s="62"/>
      <c r="E626" s="61"/>
    </row>
    <row r="627" ht="22.5" customHeight="1">
      <c r="B627" s="62"/>
      <c r="C627" s="62"/>
      <c r="E627" s="61"/>
    </row>
    <row r="628" ht="22.5" customHeight="1">
      <c r="B628" s="62"/>
      <c r="C628" s="62"/>
      <c r="E628" s="61"/>
    </row>
    <row r="629" ht="22.5" customHeight="1">
      <c r="B629" s="62"/>
      <c r="C629" s="62"/>
      <c r="E629" s="61"/>
    </row>
    <row r="630" ht="22.5" customHeight="1">
      <c r="B630" s="62"/>
      <c r="C630" s="62"/>
      <c r="E630" s="61"/>
    </row>
    <row r="631" ht="22.5" customHeight="1">
      <c r="B631" s="62"/>
      <c r="C631" s="62"/>
      <c r="E631" s="61"/>
    </row>
    <row r="632" ht="22.5" customHeight="1">
      <c r="B632" s="62"/>
      <c r="C632" s="62"/>
      <c r="E632" s="61"/>
    </row>
    <row r="633" ht="22.5" customHeight="1">
      <c r="B633" s="62"/>
      <c r="C633" s="62"/>
      <c r="E633" s="61"/>
    </row>
    <row r="634" ht="22.5" customHeight="1">
      <c r="B634" s="62"/>
      <c r="C634" s="62"/>
      <c r="E634" s="61"/>
    </row>
    <row r="635" ht="22.5" customHeight="1">
      <c r="B635" s="62"/>
      <c r="C635" s="62"/>
      <c r="E635" s="61"/>
    </row>
    <row r="636" ht="22.5" customHeight="1">
      <c r="B636" s="62"/>
      <c r="C636" s="62"/>
      <c r="E636" s="61"/>
    </row>
    <row r="637" ht="22.5" customHeight="1">
      <c r="B637" s="62"/>
      <c r="C637" s="62"/>
      <c r="E637" s="61"/>
    </row>
    <row r="638" ht="22.5" customHeight="1">
      <c r="B638" s="62"/>
      <c r="C638" s="62"/>
      <c r="E638" s="61"/>
    </row>
    <row r="639" ht="22.5" customHeight="1">
      <c r="B639" s="62"/>
      <c r="C639" s="62"/>
      <c r="E639" s="61"/>
    </row>
    <row r="640" ht="22.5" customHeight="1">
      <c r="B640" s="62"/>
      <c r="C640" s="62"/>
      <c r="E640" s="61"/>
    </row>
    <row r="641" ht="22.5" customHeight="1">
      <c r="B641" s="62"/>
      <c r="C641" s="62"/>
      <c r="E641" s="61"/>
    </row>
    <row r="642" ht="22.5" customHeight="1">
      <c r="B642" s="62"/>
      <c r="C642" s="62"/>
      <c r="E642" s="61"/>
    </row>
    <row r="643" ht="22.5" customHeight="1">
      <c r="B643" s="62"/>
      <c r="C643" s="62"/>
      <c r="E643" s="61"/>
    </row>
    <row r="644" ht="22.5" customHeight="1">
      <c r="B644" s="62"/>
      <c r="C644" s="62"/>
      <c r="E644" s="61"/>
    </row>
    <row r="645" ht="22.5" customHeight="1">
      <c r="B645" s="62"/>
      <c r="C645" s="62"/>
      <c r="E645" s="61"/>
    </row>
    <row r="646" ht="22.5" customHeight="1">
      <c r="B646" s="62"/>
      <c r="C646" s="62"/>
      <c r="E646" s="61"/>
    </row>
    <row r="647" ht="22.5" customHeight="1">
      <c r="B647" s="62"/>
      <c r="C647" s="62"/>
      <c r="E647" s="61"/>
    </row>
    <row r="648" ht="22.5" customHeight="1">
      <c r="B648" s="62"/>
      <c r="C648" s="62"/>
      <c r="E648" s="61"/>
    </row>
    <row r="649" ht="22.5" customHeight="1">
      <c r="B649" s="62"/>
      <c r="C649" s="62"/>
      <c r="E649" s="61"/>
    </row>
    <row r="650" ht="22.5" customHeight="1">
      <c r="B650" s="62"/>
      <c r="C650" s="62"/>
      <c r="E650" s="61"/>
    </row>
    <row r="651" ht="22.5" customHeight="1">
      <c r="B651" s="62"/>
      <c r="C651" s="62"/>
      <c r="E651" s="61"/>
    </row>
    <row r="652" ht="22.5" customHeight="1">
      <c r="B652" s="62"/>
      <c r="C652" s="62"/>
      <c r="E652" s="61"/>
    </row>
    <row r="653" ht="22.5" customHeight="1">
      <c r="B653" s="62"/>
      <c r="C653" s="62"/>
      <c r="E653" s="61"/>
    </row>
    <row r="654" ht="22.5" customHeight="1">
      <c r="B654" s="62"/>
      <c r="C654" s="62"/>
      <c r="E654" s="61"/>
    </row>
    <row r="655" ht="22.5" customHeight="1">
      <c r="B655" s="62"/>
      <c r="C655" s="62"/>
      <c r="E655" s="61"/>
    </row>
    <row r="656" ht="22.5" customHeight="1">
      <c r="B656" s="62"/>
      <c r="C656" s="62"/>
      <c r="E656" s="61"/>
    </row>
    <row r="657" ht="22.5" customHeight="1">
      <c r="B657" s="62"/>
      <c r="C657" s="62"/>
      <c r="E657" s="61"/>
    </row>
    <row r="658" ht="22.5" customHeight="1">
      <c r="B658" s="62"/>
      <c r="C658" s="62"/>
      <c r="E658" s="61"/>
    </row>
    <row r="659" ht="22.5" customHeight="1">
      <c r="B659" s="62"/>
      <c r="C659" s="62"/>
      <c r="E659" s="61"/>
    </row>
    <row r="660" ht="22.5" customHeight="1">
      <c r="B660" s="62"/>
      <c r="C660" s="62"/>
      <c r="E660" s="61"/>
    </row>
    <row r="661" ht="22.5" customHeight="1">
      <c r="B661" s="62"/>
      <c r="C661" s="62"/>
      <c r="E661" s="61"/>
    </row>
    <row r="662" ht="22.5" customHeight="1">
      <c r="B662" s="62"/>
      <c r="C662" s="62"/>
      <c r="E662" s="61"/>
    </row>
    <row r="663" ht="22.5" customHeight="1">
      <c r="B663" s="62"/>
      <c r="C663" s="62"/>
      <c r="E663" s="61"/>
    </row>
    <row r="664" ht="22.5" customHeight="1">
      <c r="B664" s="62"/>
      <c r="C664" s="62"/>
      <c r="E664" s="61"/>
    </row>
    <row r="665" ht="22.5" customHeight="1">
      <c r="B665" s="62"/>
      <c r="C665" s="62"/>
      <c r="E665" s="61"/>
    </row>
    <row r="666" ht="22.5" customHeight="1">
      <c r="B666" s="62"/>
      <c r="C666" s="62"/>
      <c r="E666" s="61"/>
    </row>
    <row r="667" ht="22.5" customHeight="1">
      <c r="B667" s="62"/>
      <c r="C667" s="62"/>
      <c r="E667" s="61"/>
    </row>
    <row r="668" ht="22.5" customHeight="1">
      <c r="B668" s="62"/>
      <c r="C668" s="62"/>
      <c r="E668" s="61"/>
    </row>
    <row r="669" ht="22.5" customHeight="1">
      <c r="B669" s="62"/>
      <c r="C669" s="62"/>
      <c r="E669" s="61"/>
    </row>
    <row r="670" ht="22.5" customHeight="1">
      <c r="B670" s="62"/>
      <c r="C670" s="62"/>
      <c r="E670" s="61"/>
    </row>
    <row r="671" ht="22.5" customHeight="1">
      <c r="B671" s="62"/>
      <c r="C671" s="62"/>
      <c r="E671" s="61"/>
    </row>
    <row r="672" ht="22.5" customHeight="1">
      <c r="B672" s="62"/>
      <c r="C672" s="62"/>
      <c r="E672" s="61"/>
    </row>
    <row r="673" ht="22.5" customHeight="1">
      <c r="B673" s="62"/>
      <c r="C673" s="62"/>
      <c r="E673" s="61"/>
    </row>
    <row r="674" ht="22.5" customHeight="1">
      <c r="B674" s="62"/>
      <c r="C674" s="62"/>
      <c r="E674" s="61"/>
    </row>
    <row r="675" ht="22.5" customHeight="1">
      <c r="B675" s="62"/>
      <c r="C675" s="62"/>
      <c r="E675" s="61"/>
    </row>
    <row r="676" ht="22.5" customHeight="1">
      <c r="B676" s="62"/>
      <c r="C676" s="62"/>
      <c r="E676" s="61"/>
    </row>
    <row r="677" ht="22.5" customHeight="1">
      <c r="B677" s="62"/>
      <c r="C677" s="62"/>
      <c r="E677" s="61"/>
    </row>
    <row r="678" ht="22.5" customHeight="1">
      <c r="B678" s="62"/>
      <c r="C678" s="62"/>
      <c r="E678" s="61"/>
    </row>
    <row r="679" ht="22.5" customHeight="1">
      <c r="B679" s="62"/>
      <c r="C679" s="62"/>
      <c r="E679" s="61"/>
    </row>
    <row r="680" ht="22.5" customHeight="1">
      <c r="B680" s="62"/>
      <c r="C680" s="62"/>
      <c r="E680" s="61"/>
    </row>
    <row r="681" ht="22.5" customHeight="1">
      <c r="B681" s="62"/>
      <c r="C681" s="62"/>
      <c r="E681" s="61"/>
    </row>
    <row r="682" ht="22.5" customHeight="1">
      <c r="B682" s="62"/>
      <c r="C682" s="62"/>
      <c r="E682" s="61"/>
    </row>
    <row r="683" ht="22.5" customHeight="1">
      <c r="B683" s="62"/>
      <c r="C683" s="62"/>
      <c r="E683" s="61"/>
    </row>
    <row r="684" ht="22.5" customHeight="1">
      <c r="B684" s="62"/>
      <c r="C684" s="62"/>
      <c r="E684" s="61"/>
    </row>
    <row r="685" ht="22.5" customHeight="1">
      <c r="B685" s="62"/>
      <c r="C685" s="62"/>
      <c r="E685" s="61"/>
    </row>
    <row r="686" ht="22.5" customHeight="1">
      <c r="B686" s="62"/>
      <c r="C686" s="62"/>
      <c r="E686" s="61"/>
    </row>
    <row r="687" ht="22.5" customHeight="1">
      <c r="B687" s="62"/>
      <c r="C687" s="62"/>
      <c r="E687" s="61"/>
    </row>
    <row r="688" ht="22.5" customHeight="1">
      <c r="B688" s="62"/>
      <c r="C688" s="62"/>
      <c r="E688" s="61"/>
    </row>
    <row r="689" ht="22.5" customHeight="1">
      <c r="B689" s="62"/>
      <c r="C689" s="62"/>
      <c r="E689" s="61"/>
    </row>
    <row r="690" ht="22.5" customHeight="1">
      <c r="B690" s="62"/>
      <c r="C690" s="62"/>
      <c r="E690" s="61"/>
    </row>
    <row r="691" ht="22.5" customHeight="1">
      <c r="B691" s="62"/>
      <c r="C691" s="62"/>
      <c r="E691" s="61"/>
    </row>
    <row r="692" ht="22.5" customHeight="1">
      <c r="B692" s="62"/>
      <c r="C692" s="62"/>
      <c r="E692" s="61"/>
    </row>
    <row r="693" ht="22.5" customHeight="1">
      <c r="B693" s="62"/>
      <c r="C693" s="62"/>
      <c r="E693" s="61"/>
    </row>
    <row r="694" ht="22.5" customHeight="1">
      <c r="B694" s="62"/>
      <c r="C694" s="62"/>
      <c r="E694" s="61"/>
    </row>
    <row r="695" ht="22.5" customHeight="1">
      <c r="B695" s="62"/>
      <c r="C695" s="62"/>
      <c r="E695" s="61"/>
    </row>
    <row r="696" ht="22.5" customHeight="1">
      <c r="B696" s="62"/>
      <c r="C696" s="62"/>
      <c r="E696" s="61"/>
    </row>
    <row r="697" ht="22.5" customHeight="1">
      <c r="B697" s="62"/>
      <c r="C697" s="62"/>
      <c r="E697" s="61"/>
    </row>
    <row r="698" ht="22.5" customHeight="1">
      <c r="B698" s="62"/>
      <c r="C698" s="62"/>
      <c r="E698" s="61"/>
    </row>
    <row r="699" ht="22.5" customHeight="1">
      <c r="B699" s="62"/>
      <c r="C699" s="62"/>
      <c r="E699" s="61"/>
    </row>
    <row r="700" ht="22.5" customHeight="1">
      <c r="B700" s="62"/>
      <c r="C700" s="62"/>
      <c r="E700" s="61"/>
    </row>
    <row r="701" ht="22.5" customHeight="1">
      <c r="B701" s="62"/>
      <c r="C701" s="62"/>
      <c r="E701" s="61"/>
    </row>
    <row r="702" ht="22.5" customHeight="1">
      <c r="B702" s="62"/>
      <c r="C702" s="62"/>
      <c r="E702" s="61"/>
    </row>
    <row r="703" ht="22.5" customHeight="1">
      <c r="B703" s="62"/>
      <c r="C703" s="62"/>
      <c r="E703" s="61"/>
    </row>
    <row r="704" ht="22.5" customHeight="1">
      <c r="B704" s="62"/>
      <c r="C704" s="62"/>
      <c r="E704" s="61"/>
    </row>
    <row r="705" ht="22.5" customHeight="1">
      <c r="B705" s="62"/>
      <c r="C705" s="62"/>
      <c r="E705" s="61"/>
    </row>
    <row r="706" ht="22.5" customHeight="1">
      <c r="B706" s="62"/>
      <c r="C706" s="62"/>
      <c r="E706" s="61"/>
    </row>
    <row r="707" ht="22.5" customHeight="1">
      <c r="B707" s="62"/>
      <c r="C707" s="62"/>
      <c r="E707" s="61"/>
    </row>
    <row r="708" ht="22.5" customHeight="1">
      <c r="B708" s="62"/>
      <c r="C708" s="62"/>
      <c r="E708" s="61"/>
    </row>
    <row r="709" ht="22.5" customHeight="1">
      <c r="B709" s="62"/>
      <c r="C709" s="62"/>
      <c r="E709" s="61"/>
    </row>
    <row r="710" ht="22.5" customHeight="1">
      <c r="B710" s="62"/>
      <c r="C710" s="62"/>
      <c r="E710" s="61"/>
    </row>
    <row r="711" ht="22.5" customHeight="1">
      <c r="B711" s="62"/>
      <c r="C711" s="62"/>
      <c r="E711" s="61"/>
    </row>
    <row r="712" ht="22.5" customHeight="1">
      <c r="B712" s="62"/>
      <c r="C712" s="62"/>
      <c r="E712" s="61"/>
    </row>
    <row r="713" ht="22.5" customHeight="1">
      <c r="B713" s="62"/>
      <c r="C713" s="62"/>
      <c r="E713" s="61"/>
    </row>
    <row r="714" ht="22.5" customHeight="1">
      <c r="B714" s="62"/>
      <c r="C714" s="62"/>
      <c r="E714" s="61"/>
    </row>
    <row r="715" ht="22.5" customHeight="1">
      <c r="B715" s="62"/>
      <c r="C715" s="62"/>
      <c r="E715" s="61"/>
    </row>
    <row r="716" ht="22.5" customHeight="1">
      <c r="B716" s="62"/>
      <c r="C716" s="62"/>
      <c r="E716" s="61"/>
    </row>
    <row r="717" ht="22.5" customHeight="1">
      <c r="B717" s="62"/>
      <c r="C717" s="62"/>
      <c r="E717" s="61"/>
    </row>
    <row r="718" ht="22.5" customHeight="1">
      <c r="B718" s="62"/>
      <c r="C718" s="62"/>
      <c r="E718" s="61"/>
    </row>
    <row r="719" ht="22.5" customHeight="1">
      <c r="B719" s="62"/>
      <c r="C719" s="62"/>
      <c r="E719" s="61"/>
    </row>
    <row r="720" ht="22.5" customHeight="1">
      <c r="B720" s="62"/>
      <c r="C720" s="62"/>
      <c r="E720" s="61"/>
    </row>
    <row r="721" ht="22.5" customHeight="1">
      <c r="B721" s="62"/>
      <c r="C721" s="62"/>
      <c r="E721" s="61"/>
    </row>
    <row r="722" ht="22.5" customHeight="1">
      <c r="B722" s="62"/>
      <c r="C722" s="62"/>
      <c r="E722" s="61"/>
    </row>
    <row r="723" ht="22.5" customHeight="1">
      <c r="B723" s="62"/>
      <c r="C723" s="62"/>
      <c r="E723" s="61"/>
    </row>
    <row r="724" ht="22.5" customHeight="1">
      <c r="B724" s="62"/>
      <c r="C724" s="62"/>
      <c r="E724" s="61"/>
    </row>
    <row r="725" ht="22.5" customHeight="1">
      <c r="B725" s="62"/>
      <c r="C725" s="62"/>
      <c r="E725" s="61"/>
    </row>
    <row r="726" ht="22.5" customHeight="1">
      <c r="B726" s="62"/>
      <c r="C726" s="62"/>
      <c r="E726" s="61"/>
    </row>
    <row r="727" ht="22.5" customHeight="1">
      <c r="B727" s="62"/>
      <c r="C727" s="62"/>
      <c r="E727" s="61"/>
    </row>
    <row r="728" ht="22.5" customHeight="1">
      <c r="B728" s="62"/>
      <c r="C728" s="62"/>
      <c r="E728" s="61"/>
    </row>
    <row r="729" ht="22.5" customHeight="1">
      <c r="B729" s="62"/>
      <c r="C729" s="62"/>
      <c r="E729" s="61"/>
    </row>
    <row r="730" ht="22.5" customHeight="1">
      <c r="B730" s="62"/>
      <c r="C730" s="62"/>
      <c r="E730" s="61"/>
    </row>
    <row r="731" ht="22.5" customHeight="1">
      <c r="B731" s="62"/>
      <c r="C731" s="62"/>
      <c r="E731" s="61"/>
    </row>
    <row r="732" ht="22.5" customHeight="1">
      <c r="B732" s="62"/>
      <c r="C732" s="62"/>
      <c r="E732" s="61"/>
    </row>
    <row r="733" ht="22.5" customHeight="1">
      <c r="B733" s="62"/>
      <c r="C733" s="62"/>
      <c r="E733" s="61"/>
    </row>
    <row r="734" ht="22.5" customHeight="1">
      <c r="B734" s="62"/>
      <c r="C734" s="62"/>
      <c r="E734" s="61"/>
    </row>
    <row r="735" ht="22.5" customHeight="1">
      <c r="B735" s="62"/>
      <c r="C735" s="62"/>
      <c r="E735" s="61"/>
    </row>
    <row r="736" ht="22.5" customHeight="1">
      <c r="B736" s="62"/>
      <c r="C736" s="62"/>
      <c r="E736" s="61"/>
    </row>
    <row r="737" ht="22.5" customHeight="1">
      <c r="B737" s="62"/>
      <c r="C737" s="62"/>
      <c r="E737" s="61"/>
    </row>
    <row r="738" ht="22.5" customHeight="1">
      <c r="B738" s="62"/>
      <c r="C738" s="62"/>
      <c r="E738" s="61"/>
    </row>
    <row r="739" ht="22.5" customHeight="1">
      <c r="B739" s="62"/>
      <c r="C739" s="62"/>
      <c r="E739" s="61"/>
    </row>
    <row r="740" ht="22.5" customHeight="1">
      <c r="B740" s="62"/>
      <c r="C740" s="62"/>
      <c r="E740" s="61"/>
    </row>
    <row r="741" ht="22.5" customHeight="1">
      <c r="B741" s="62"/>
      <c r="C741" s="62"/>
      <c r="E741" s="61"/>
    </row>
    <row r="742" ht="22.5" customHeight="1">
      <c r="B742" s="62"/>
      <c r="C742" s="62"/>
      <c r="E742" s="61"/>
    </row>
    <row r="743" ht="22.5" customHeight="1">
      <c r="B743" s="62"/>
      <c r="C743" s="62"/>
      <c r="E743" s="61"/>
    </row>
    <row r="744" ht="22.5" customHeight="1">
      <c r="B744" s="62"/>
      <c r="C744" s="62"/>
      <c r="E744" s="61"/>
    </row>
    <row r="745" ht="22.5" customHeight="1">
      <c r="B745" s="62"/>
      <c r="C745" s="62"/>
      <c r="E745" s="61"/>
    </row>
    <row r="746" ht="22.5" customHeight="1">
      <c r="B746" s="62"/>
      <c r="C746" s="62"/>
      <c r="E746" s="61"/>
    </row>
    <row r="747" ht="22.5" customHeight="1">
      <c r="B747" s="62"/>
      <c r="C747" s="62"/>
      <c r="E747" s="61"/>
    </row>
    <row r="748" ht="22.5" customHeight="1">
      <c r="B748" s="62"/>
      <c r="C748" s="62"/>
      <c r="E748" s="61"/>
    </row>
    <row r="749" ht="22.5" customHeight="1">
      <c r="B749" s="62"/>
      <c r="C749" s="62"/>
      <c r="E749" s="61"/>
    </row>
    <row r="750" ht="22.5" customHeight="1">
      <c r="B750" s="62"/>
      <c r="C750" s="62"/>
      <c r="E750" s="61"/>
    </row>
    <row r="751" ht="22.5" customHeight="1">
      <c r="B751" s="62"/>
      <c r="C751" s="62"/>
      <c r="E751" s="61"/>
    </row>
    <row r="752" ht="22.5" customHeight="1">
      <c r="B752" s="62"/>
      <c r="C752" s="62"/>
      <c r="E752" s="61"/>
    </row>
    <row r="753" ht="22.5" customHeight="1">
      <c r="B753" s="62"/>
      <c r="C753" s="62"/>
      <c r="E753" s="61"/>
    </row>
    <row r="754" ht="22.5" customHeight="1">
      <c r="B754" s="62"/>
      <c r="C754" s="62"/>
      <c r="E754" s="61"/>
    </row>
    <row r="755" ht="22.5" customHeight="1">
      <c r="B755" s="62"/>
      <c r="C755" s="62"/>
      <c r="E755" s="61"/>
    </row>
    <row r="756" ht="22.5" customHeight="1">
      <c r="B756" s="62"/>
      <c r="C756" s="62"/>
      <c r="E756" s="61"/>
    </row>
    <row r="757" ht="22.5" customHeight="1">
      <c r="B757" s="62"/>
      <c r="C757" s="62"/>
      <c r="E757" s="61"/>
    </row>
    <row r="758" ht="22.5" customHeight="1">
      <c r="B758" s="62"/>
      <c r="C758" s="62"/>
      <c r="E758" s="61"/>
    </row>
    <row r="759" ht="22.5" customHeight="1">
      <c r="B759" s="62"/>
      <c r="C759" s="62"/>
      <c r="E759" s="61"/>
    </row>
    <row r="760" ht="22.5" customHeight="1">
      <c r="B760" s="62"/>
      <c r="C760" s="62"/>
      <c r="E760" s="61"/>
    </row>
    <row r="761" ht="22.5" customHeight="1">
      <c r="B761" s="62"/>
      <c r="C761" s="62"/>
      <c r="E761" s="61"/>
    </row>
    <row r="762" ht="22.5" customHeight="1">
      <c r="B762" s="62"/>
      <c r="C762" s="62"/>
      <c r="E762" s="61"/>
    </row>
    <row r="763" ht="22.5" customHeight="1">
      <c r="B763" s="62"/>
      <c r="C763" s="62"/>
      <c r="E763" s="61"/>
    </row>
    <row r="764" ht="22.5" customHeight="1">
      <c r="B764" s="62"/>
      <c r="C764" s="62"/>
      <c r="E764" s="61"/>
    </row>
    <row r="765" ht="22.5" customHeight="1">
      <c r="B765" s="62"/>
      <c r="C765" s="62"/>
      <c r="E765" s="61"/>
    </row>
    <row r="766" ht="22.5" customHeight="1">
      <c r="B766" s="62"/>
      <c r="C766" s="62"/>
      <c r="E766" s="61"/>
    </row>
    <row r="767" ht="22.5" customHeight="1">
      <c r="B767" s="62"/>
      <c r="C767" s="62"/>
      <c r="E767" s="61"/>
    </row>
    <row r="768" ht="22.5" customHeight="1">
      <c r="B768" s="62"/>
      <c r="C768" s="62"/>
      <c r="E768" s="61"/>
    </row>
    <row r="769" ht="22.5" customHeight="1">
      <c r="B769" s="62"/>
      <c r="C769" s="62"/>
      <c r="E769" s="61"/>
    </row>
    <row r="770" ht="22.5" customHeight="1">
      <c r="B770" s="62"/>
      <c r="C770" s="62"/>
      <c r="E770" s="61"/>
    </row>
    <row r="771" ht="22.5" customHeight="1">
      <c r="B771" s="62"/>
      <c r="C771" s="62"/>
      <c r="E771" s="61"/>
    </row>
    <row r="772" ht="22.5" customHeight="1">
      <c r="B772" s="62"/>
      <c r="C772" s="62"/>
      <c r="E772" s="61"/>
    </row>
    <row r="773" ht="22.5" customHeight="1">
      <c r="B773" s="62"/>
      <c r="C773" s="62"/>
      <c r="E773" s="61"/>
    </row>
    <row r="774" ht="22.5" customHeight="1">
      <c r="B774" s="62"/>
      <c r="C774" s="62"/>
      <c r="E774" s="61"/>
    </row>
    <row r="775" ht="22.5" customHeight="1">
      <c r="B775" s="62"/>
      <c r="C775" s="62"/>
      <c r="E775" s="61"/>
    </row>
    <row r="776" ht="22.5" customHeight="1">
      <c r="B776" s="62"/>
      <c r="C776" s="62"/>
      <c r="E776" s="61"/>
    </row>
    <row r="777" ht="22.5" customHeight="1">
      <c r="B777" s="62"/>
      <c r="C777" s="62"/>
      <c r="E777" s="61"/>
    </row>
    <row r="778" ht="22.5" customHeight="1">
      <c r="B778" s="62"/>
      <c r="C778" s="62"/>
      <c r="E778" s="61"/>
    </row>
    <row r="779" ht="22.5" customHeight="1">
      <c r="B779" s="62"/>
      <c r="C779" s="62"/>
      <c r="E779" s="61"/>
    </row>
    <row r="780" ht="22.5" customHeight="1">
      <c r="B780" s="62"/>
      <c r="C780" s="62"/>
      <c r="E780" s="61"/>
    </row>
    <row r="781" ht="22.5" customHeight="1">
      <c r="B781" s="62"/>
      <c r="C781" s="62"/>
      <c r="E781" s="61"/>
    </row>
    <row r="782" ht="22.5" customHeight="1">
      <c r="B782" s="62"/>
      <c r="C782" s="62"/>
      <c r="E782" s="61"/>
    </row>
    <row r="783" ht="22.5" customHeight="1">
      <c r="B783" s="62"/>
      <c r="C783" s="62"/>
      <c r="E783" s="61"/>
    </row>
    <row r="784" ht="22.5" customHeight="1">
      <c r="B784" s="62"/>
      <c r="C784" s="62"/>
      <c r="E784" s="61"/>
    </row>
    <row r="785" ht="22.5" customHeight="1">
      <c r="B785" s="62"/>
      <c r="C785" s="62"/>
      <c r="E785" s="61"/>
    </row>
    <row r="786" ht="22.5" customHeight="1">
      <c r="B786" s="62"/>
      <c r="C786" s="62"/>
      <c r="E786" s="61"/>
    </row>
    <row r="787" ht="22.5" customHeight="1">
      <c r="B787" s="62"/>
      <c r="C787" s="62"/>
      <c r="E787" s="61"/>
    </row>
    <row r="788" ht="22.5" customHeight="1">
      <c r="B788" s="62"/>
      <c r="C788" s="62"/>
      <c r="E788" s="61"/>
    </row>
    <row r="789" ht="22.5" customHeight="1">
      <c r="B789" s="62"/>
      <c r="C789" s="62"/>
      <c r="E789" s="61"/>
    </row>
    <row r="790" ht="22.5" customHeight="1">
      <c r="B790" s="62"/>
      <c r="C790" s="62"/>
      <c r="E790" s="61"/>
    </row>
    <row r="791" ht="22.5" customHeight="1">
      <c r="B791" s="62"/>
      <c r="C791" s="62"/>
      <c r="E791" s="61"/>
    </row>
    <row r="792" ht="22.5" customHeight="1">
      <c r="B792" s="62"/>
      <c r="C792" s="62"/>
      <c r="E792" s="61"/>
    </row>
    <row r="793" ht="22.5" customHeight="1">
      <c r="B793" s="62"/>
      <c r="C793" s="62"/>
      <c r="E793" s="61"/>
    </row>
    <row r="794" ht="22.5" customHeight="1">
      <c r="B794" s="62"/>
      <c r="C794" s="62"/>
      <c r="E794" s="61"/>
    </row>
    <row r="795" ht="22.5" customHeight="1">
      <c r="B795" s="62"/>
      <c r="C795" s="62"/>
      <c r="E795" s="61"/>
    </row>
    <row r="796" ht="22.5" customHeight="1">
      <c r="B796" s="62"/>
      <c r="C796" s="62"/>
      <c r="E796" s="61"/>
    </row>
    <row r="797" ht="22.5" customHeight="1">
      <c r="B797" s="62"/>
      <c r="C797" s="62"/>
      <c r="E797" s="61"/>
    </row>
    <row r="798" ht="22.5" customHeight="1">
      <c r="B798" s="62"/>
      <c r="C798" s="62"/>
      <c r="E798" s="61"/>
    </row>
    <row r="799" ht="22.5" customHeight="1">
      <c r="B799" s="62"/>
      <c r="C799" s="62"/>
      <c r="E799" s="61"/>
    </row>
    <row r="800" ht="22.5" customHeight="1">
      <c r="B800" s="62"/>
      <c r="C800" s="62"/>
      <c r="E800" s="61"/>
    </row>
    <row r="801" ht="22.5" customHeight="1">
      <c r="B801" s="62"/>
      <c r="C801" s="62"/>
      <c r="E801" s="61"/>
    </row>
    <row r="802" ht="22.5" customHeight="1">
      <c r="B802" s="62"/>
      <c r="C802" s="62"/>
      <c r="E802" s="61"/>
    </row>
    <row r="803" ht="22.5" customHeight="1">
      <c r="B803" s="62"/>
      <c r="C803" s="62"/>
      <c r="E803" s="61"/>
    </row>
    <row r="804" ht="22.5" customHeight="1">
      <c r="B804" s="62"/>
      <c r="C804" s="62"/>
      <c r="E804" s="61"/>
    </row>
    <row r="805" ht="22.5" customHeight="1">
      <c r="B805" s="62"/>
      <c r="C805" s="62"/>
      <c r="E805" s="61"/>
    </row>
    <row r="806" ht="22.5" customHeight="1">
      <c r="B806" s="62"/>
      <c r="C806" s="62"/>
      <c r="E806" s="61"/>
    </row>
    <row r="807" ht="22.5" customHeight="1">
      <c r="B807" s="62"/>
      <c r="C807" s="62"/>
      <c r="E807" s="61"/>
    </row>
    <row r="808" ht="22.5" customHeight="1">
      <c r="B808" s="62"/>
      <c r="C808" s="62"/>
      <c r="E808" s="61"/>
    </row>
    <row r="809" ht="22.5" customHeight="1">
      <c r="B809" s="62"/>
      <c r="C809" s="62"/>
      <c r="E809" s="61"/>
    </row>
    <row r="810" ht="22.5" customHeight="1">
      <c r="B810" s="62"/>
      <c r="C810" s="62"/>
      <c r="E810" s="61"/>
    </row>
    <row r="811" ht="22.5" customHeight="1">
      <c r="B811" s="62"/>
      <c r="C811" s="62"/>
      <c r="E811" s="61"/>
    </row>
    <row r="812" ht="22.5" customHeight="1">
      <c r="B812" s="62"/>
      <c r="C812" s="62"/>
      <c r="E812" s="61"/>
    </row>
    <row r="813" ht="22.5" customHeight="1">
      <c r="B813" s="62"/>
      <c r="C813" s="62"/>
      <c r="E813" s="61"/>
    </row>
    <row r="814" ht="22.5" customHeight="1">
      <c r="B814" s="62"/>
      <c r="C814" s="62"/>
      <c r="E814" s="61"/>
    </row>
    <row r="815" ht="22.5" customHeight="1">
      <c r="B815" s="62"/>
      <c r="C815" s="62"/>
      <c r="E815" s="61"/>
    </row>
    <row r="816" ht="22.5" customHeight="1">
      <c r="B816" s="62"/>
      <c r="C816" s="62"/>
      <c r="E816" s="61"/>
    </row>
    <row r="817" ht="22.5" customHeight="1">
      <c r="B817" s="62"/>
      <c r="C817" s="62"/>
      <c r="E817" s="61"/>
    </row>
    <row r="818" ht="22.5" customHeight="1">
      <c r="B818" s="62"/>
      <c r="C818" s="62"/>
      <c r="E818" s="61"/>
    </row>
    <row r="819" ht="22.5" customHeight="1">
      <c r="B819" s="62"/>
      <c r="C819" s="62"/>
      <c r="E819" s="61"/>
    </row>
    <row r="820" ht="22.5" customHeight="1">
      <c r="B820" s="62"/>
      <c r="C820" s="62"/>
      <c r="E820" s="61"/>
    </row>
    <row r="821" ht="22.5" customHeight="1">
      <c r="B821" s="62"/>
      <c r="C821" s="62"/>
      <c r="E821" s="61"/>
    </row>
    <row r="822" ht="22.5" customHeight="1">
      <c r="B822" s="62"/>
      <c r="C822" s="62"/>
      <c r="E822" s="61"/>
    </row>
    <row r="823" ht="22.5" customHeight="1">
      <c r="B823" s="62"/>
      <c r="C823" s="62"/>
      <c r="E823" s="61"/>
    </row>
    <row r="824" ht="22.5" customHeight="1">
      <c r="B824" s="62"/>
      <c r="C824" s="62"/>
      <c r="E824" s="61"/>
    </row>
    <row r="825" ht="22.5" customHeight="1">
      <c r="B825" s="62"/>
      <c r="C825" s="62"/>
      <c r="E825" s="61"/>
    </row>
    <row r="826" ht="22.5" customHeight="1">
      <c r="B826" s="62"/>
      <c r="C826" s="62"/>
      <c r="E826" s="61"/>
    </row>
    <row r="827" ht="22.5" customHeight="1">
      <c r="B827" s="62"/>
      <c r="C827" s="62"/>
      <c r="E827" s="61"/>
    </row>
    <row r="828" ht="22.5" customHeight="1">
      <c r="B828" s="62"/>
      <c r="C828" s="62"/>
      <c r="E828" s="61"/>
    </row>
    <row r="829" ht="22.5" customHeight="1">
      <c r="B829" s="62"/>
      <c r="C829" s="62"/>
      <c r="E829" s="61"/>
    </row>
    <row r="830" ht="22.5" customHeight="1">
      <c r="B830" s="62"/>
      <c r="C830" s="62"/>
      <c r="E830" s="61"/>
    </row>
    <row r="831" ht="22.5" customHeight="1">
      <c r="B831" s="62"/>
      <c r="C831" s="62"/>
      <c r="E831" s="61"/>
    </row>
    <row r="832" ht="22.5" customHeight="1">
      <c r="B832" s="62"/>
      <c r="C832" s="62"/>
      <c r="E832" s="61"/>
    </row>
    <row r="833" ht="22.5" customHeight="1">
      <c r="B833" s="62"/>
      <c r="C833" s="62"/>
      <c r="E833" s="61"/>
    </row>
    <row r="834" ht="22.5" customHeight="1">
      <c r="B834" s="62"/>
      <c r="C834" s="62"/>
      <c r="E834" s="61"/>
    </row>
    <row r="835" ht="22.5" customHeight="1">
      <c r="B835" s="62"/>
      <c r="C835" s="62"/>
      <c r="E835" s="61"/>
    </row>
    <row r="836" ht="22.5" customHeight="1">
      <c r="B836" s="62"/>
      <c r="C836" s="62"/>
      <c r="E836" s="61"/>
    </row>
    <row r="837" ht="22.5" customHeight="1">
      <c r="B837" s="62"/>
      <c r="C837" s="62"/>
      <c r="E837" s="61"/>
    </row>
    <row r="838" ht="22.5" customHeight="1">
      <c r="B838" s="62"/>
      <c r="C838" s="62"/>
      <c r="E838" s="61"/>
    </row>
    <row r="839" ht="22.5" customHeight="1">
      <c r="B839" s="62"/>
      <c r="C839" s="62"/>
      <c r="E839" s="61"/>
    </row>
    <row r="840" ht="22.5" customHeight="1">
      <c r="B840" s="62"/>
      <c r="C840" s="62"/>
      <c r="E840" s="61"/>
    </row>
    <row r="841" ht="22.5" customHeight="1">
      <c r="B841" s="62"/>
      <c r="C841" s="62"/>
      <c r="E841" s="61"/>
    </row>
    <row r="842" ht="22.5" customHeight="1">
      <c r="B842" s="62"/>
      <c r="C842" s="62"/>
      <c r="E842" s="61"/>
    </row>
    <row r="843" ht="22.5" customHeight="1">
      <c r="B843" s="62"/>
      <c r="C843" s="62"/>
      <c r="E843" s="61"/>
    </row>
    <row r="844" ht="22.5" customHeight="1">
      <c r="B844" s="62"/>
      <c r="C844" s="62"/>
      <c r="E844" s="61"/>
    </row>
    <row r="845" ht="22.5" customHeight="1">
      <c r="B845" s="62"/>
      <c r="C845" s="62"/>
      <c r="E845" s="61"/>
    </row>
    <row r="846" ht="22.5" customHeight="1">
      <c r="B846" s="62"/>
      <c r="C846" s="62"/>
      <c r="E846" s="61"/>
    </row>
    <row r="847" ht="22.5" customHeight="1">
      <c r="B847" s="62"/>
      <c r="C847" s="62"/>
      <c r="E847" s="61"/>
    </row>
    <row r="848" ht="22.5" customHeight="1">
      <c r="B848" s="62"/>
      <c r="C848" s="62"/>
      <c r="E848" s="61"/>
    </row>
    <row r="849" ht="22.5" customHeight="1">
      <c r="B849" s="62"/>
      <c r="C849" s="62"/>
      <c r="E849" s="61"/>
    </row>
    <row r="850" ht="22.5" customHeight="1">
      <c r="B850" s="62"/>
      <c r="C850" s="62"/>
      <c r="E850" s="61"/>
    </row>
    <row r="851" ht="22.5" customHeight="1">
      <c r="B851" s="62"/>
      <c r="C851" s="62"/>
      <c r="E851" s="61"/>
    </row>
    <row r="852" ht="22.5" customHeight="1">
      <c r="B852" s="62"/>
      <c r="C852" s="62"/>
      <c r="E852" s="61"/>
    </row>
    <row r="853" ht="22.5" customHeight="1">
      <c r="B853" s="62"/>
      <c r="C853" s="62"/>
      <c r="E853" s="61"/>
    </row>
    <row r="854" ht="22.5" customHeight="1">
      <c r="B854" s="62"/>
      <c r="C854" s="62"/>
      <c r="E854" s="61"/>
    </row>
    <row r="855" ht="22.5" customHeight="1">
      <c r="B855" s="62"/>
      <c r="C855" s="62"/>
      <c r="E855" s="61"/>
    </row>
    <row r="856" ht="22.5" customHeight="1">
      <c r="B856" s="62"/>
      <c r="C856" s="62"/>
      <c r="E856" s="61"/>
    </row>
    <row r="857" ht="22.5" customHeight="1">
      <c r="B857" s="62"/>
      <c r="C857" s="62"/>
      <c r="E857" s="61"/>
    </row>
    <row r="858" ht="22.5" customHeight="1">
      <c r="B858" s="62"/>
      <c r="C858" s="62"/>
      <c r="E858" s="61"/>
    </row>
    <row r="859" ht="22.5" customHeight="1">
      <c r="B859" s="62"/>
      <c r="C859" s="62"/>
      <c r="E859" s="61"/>
    </row>
    <row r="860" ht="22.5" customHeight="1">
      <c r="B860" s="62"/>
      <c r="C860" s="62"/>
      <c r="E860" s="61"/>
    </row>
    <row r="861" ht="22.5" customHeight="1">
      <c r="B861" s="62"/>
      <c r="C861" s="62"/>
      <c r="E861" s="61"/>
    </row>
    <row r="862" ht="22.5" customHeight="1">
      <c r="B862" s="62"/>
      <c r="C862" s="62"/>
      <c r="E862" s="61"/>
    </row>
    <row r="863" ht="22.5" customHeight="1">
      <c r="B863" s="62"/>
      <c r="C863" s="62"/>
      <c r="E863" s="61"/>
    </row>
    <row r="864" ht="22.5" customHeight="1">
      <c r="B864" s="62"/>
      <c r="C864" s="62"/>
      <c r="E864" s="61"/>
    </row>
    <row r="865" ht="22.5" customHeight="1">
      <c r="B865" s="62"/>
      <c r="C865" s="62"/>
      <c r="E865" s="61"/>
    </row>
    <row r="866" ht="22.5" customHeight="1">
      <c r="B866" s="62"/>
      <c r="C866" s="62"/>
      <c r="E866" s="61"/>
    </row>
    <row r="867" ht="22.5" customHeight="1">
      <c r="B867" s="62"/>
      <c r="C867" s="62"/>
      <c r="E867" s="61"/>
    </row>
    <row r="868" ht="22.5" customHeight="1">
      <c r="B868" s="62"/>
      <c r="C868" s="62"/>
      <c r="E868" s="61"/>
    </row>
    <row r="869" ht="22.5" customHeight="1">
      <c r="B869" s="62"/>
      <c r="C869" s="62"/>
      <c r="E869" s="61"/>
    </row>
    <row r="870" ht="22.5" customHeight="1">
      <c r="B870" s="62"/>
      <c r="C870" s="62"/>
      <c r="E870" s="61"/>
    </row>
    <row r="871" ht="22.5" customHeight="1">
      <c r="B871" s="62"/>
      <c r="C871" s="62"/>
      <c r="E871" s="61"/>
    </row>
    <row r="872" ht="22.5" customHeight="1">
      <c r="B872" s="62"/>
      <c r="C872" s="62"/>
      <c r="E872" s="61"/>
    </row>
    <row r="873" ht="22.5" customHeight="1">
      <c r="B873" s="62"/>
      <c r="C873" s="62"/>
      <c r="E873" s="61"/>
    </row>
    <row r="874" ht="22.5" customHeight="1">
      <c r="B874" s="62"/>
      <c r="C874" s="62"/>
      <c r="E874" s="61"/>
    </row>
    <row r="875" ht="22.5" customHeight="1">
      <c r="B875" s="62"/>
      <c r="C875" s="62"/>
      <c r="E875" s="61"/>
    </row>
    <row r="876" ht="22.5" customHeight="1">
      <c r="B876" s="62"/>
      <c r="C876" s="62"/>
      <c r="E876" s="61"/>
    </row>
    <row r="877" ht="22.5" customHeight="1">
      <c r="B877" s="62"/>
      <c r="C877" s="62"/>
      <c r="E877" s="61"/>
    </row>
    <row r="878" ht="22.5" customHeight="1">
      <c r="B878" s="62"/>
      <c r="C878" s="62"/>
      <c r="E878" s="61"/>
    </row>
    <row r="879" ht="22.5" customHeight="1">
      <c r="B879" s="62"/>
      <c r="C879" s="62"/>
      <c r="E879" s="61"/>
    </row>
    <row r="880" ht="22.5" customHeight="1">
      <c r="B880" s="62"/>
      <c r="C880" s="62"/>
      <c r="E880" s="61"/>
    </row>
    <row r="881" ht="22.5" customHeight="1">
      <c r="B881" s="62"/>
      <c r="C881" s="62"/>
      <c r="E881" s="61"/>
    </row>
    <row r="882" ht="22.5" customHeight="1">
      <c r="B882" s="62"/>
      <c r="C882" s="62"/>
      <c r="E882" s="61"/>
    </row>
    <row r="883" ht="22.5" customHeight="1">
      <c r="B883" s="62"/>
      <c r="C883" s="62"/>
      <c r="E883" s="61"/>
    </row>
    <row r="884" ht="22.5" customHeight="1">
      <c r="B884" s="62"/>
      <c r="C884" s="62"/>
      <c r="E884" s="61"/>
    </row>
    <row r="885" ht="22.5" customHeight="1">
      <c r="B885" s="62"/>
      <c r="C885" s="62"/>
      <c r="E885" s="61"/>
    </row>
    <row r="886" ht="22.5" customHeight="1">
      <c r="B886" s="62"/>
      <c r="C886" s="62"/>
      <c r="E886" s="61"/>
    </row>
    <row r="887" ht="22.5" customHeight="1">
      <c r="B887" s="62"/>
      <c r="C887" s="62"/>
      <c r="E887" s="61"/>
    </row>
    <row r="888" ht="22.5" customHeight="1">
      <c r="B888" s="62"/>
      <c r="C888" s="62"/>
      <c r="E888" s="61"/>
    </row>
    <row r="889" ht="22.5" customHeight="1">
      <c r="B889" s="62"/>
      <c r="C889" s="62"/>
      <c r="E889" s="61"/>
    </row>
    <row r="890" ht="22.5" customHeight="1">
      <c r="B890" s="62"/>
      <c r="C890" s="62"/>
      <c r="E890" s="61"/>
    </row>
    <row r="891" ht="22.5" customHeight="1">
      <c r="B891" s="62"/>
      <c r="C891" s="62"/>
      <c r="E891" s="61"/>
    </row>
    <row r="892" ht="22.5" customHeight="1">
      <c r="B892" s="62"/>
      <c r="C892" s="62"/>
      <c r="E892" s="61"/>
    </row>
    <row r="893" ht="22.5" customHeight="1">
      <c r="B893" s="62"/>
      <c r="C893" s="62"/>
      <c r="E893" s="61"/>
    </row>
    <row r="894" ht="22.5" customHeight="1">
      <c r="B894" s="62"/>
      <c r="C894" s="62"/>
      <c r="E894" s="61"/>
    </row>
    <row r="895" ht="22.5" customHeight="1">
      <c r="B895" s="62"/>
      <c r="C895" s="62"/>
      <c r="E895" s="61"/>
    </row>
    <row r="896" ht="22.5" customHeight="1">
      <c r="B896" s="62"/>
      <c r="C896" s="62"/>
      <c r="E896" s="61"/>
    </row>
    <row r="897" ht="22.5" customHeight="1">
      <c r="B897" s="62"/>
      <c r="C897" s="62"/>
      <c r="E897" s="61"/>
    </row>
    <row r="898" ht="22.5" customHeight="1">
      <c r="B898" s="62"/>
      <c r="C898" s="62"/>
      <c r="E898" s="61"/>
    </row>
    <row r="899" ht="22.5" customHeight="1">
      <c r="B899" s="62"/>
      <c r="C899" s="62"/>
      <c r="E899" s="61"/>
    </row>
    <row r="900" ht="22.5" customHeight="1">
      <c r="B900" s="62"/>
      <c r="C900" s="62"/>
      <c r="E900" s="61"/>
    </row>
    <row r="901" ht="22.5" customHeight="1">
      <c r="B901" s="62"/>
      <c r="C901" s="62"/>
      <c r="E901" s="61"/>
    </row>
    <row r="902" ht="22.5" customHeight="1">
      <c r="B902" s="62"/>
      <c r="C902" s="62"/>
      <c r="E902" s="61"/>
    </row>
    <row r="903" ht="22.5" customHeight="1">
      <c r="B903" s="62"/>
      <c r="C903" s="62"/>
      <c r="E903" s="61"/>
    </row>
    <row r="904" ht="22.5" customHeight="1">
      <c r="B904" s="62"/>
      <c r="C904" s="62"/>
      <c r="E904" s="61"/>
    </row>
    <row r="905" ht="22.5" customHeight="1">
      <c r="B905" s="62"/>
      <c r="C905" s="62"/>
      <c r="E905" s="61"/>
    </row>
    <row r="906" ht="22.5" customHeight="1">
      <c r="B906" s="62"/>
      <c r="C906" s="62"/>
      <c r="E906" s="61"/>
    </row>
    <row r="907" ht="22.5" customHeight="1">
      <c r="B907" s="62"/>
      <c r="C907" s="62"/>
      <c r="E907" s="61"/>
    </row>
    <row r="908" ht="22.5" customHeight="1">
      <c r="B908" s="62"/>
      <c r="C908" s="62"/>
      <c r="E908" s="61"/>
    </row>
    <row r="909" ht="22.5" customHeight="1">
      <c r="B909" s="62"/>
      <c r="C909" s="62"/>
      <c r="E909" s="61"/>
    </row>
    <row r="910" ht="22.5" customHeight="1">
      <c r="B910" s="62"/>
      <c r="C910" s="62"/>
      <c r="E910" s="61"/>
    </row>
    <row r="911" ht="22.5" customHeight="1">
      <c r="B911" s="62"/>
      <c r="C911" s="62"/>
      <c r="E911" s="61"/>
    </row>
    <row r="912" ht="22.5" customHeight="1">
      <c r="B912" s="62"/>
      <c r="C912" s="62"/>
      <c r="E912" s="61"/>
    </row>
    <row r="913" ht="22.5" customHeight="1">
      <c r="B913" s="62"/>
      <c r="C913" s="62"/>
      <c r="E913" s="61"/>
    </row>
    <row r="914" ht="22.5" customHeight="1">
      <c r="B914" s="62"/>
      <c r="C914" s="62"/>
      <c r="E914" s="61"/>
    </row>
    <row r="915" ht="22.5" customHeight="1">
      <c r="B915" s="62"/>
      <c r="C915" s="62"/>
      <c r="E915" s="61"/>
    </row>
    <row r="916" ht="22.5" customHeight="1">
      <c r="B916" s="62"/>
      <c r="C916" s="62"/>
      <c r="E916" s="61"/>
    </row>
    <row r="917" ht="22.5" customHeight="1">
      <c r="B917" s="62"/>
      <c r="C917" s="62"/>
      <c r="E917" s="61"/>
    </row>
    <row r="918" ht="22.5" customHeight="1">
      <c r="B918" s="62"/>
      <c r="C918" s="62"/>
      <c r="E918" s="61"/>
    </row>
    <row r="919" ht="22.5" customHeight="1">
      <c r="B919" s="62"/>
      <c r="C919" s="62"/>
      <c r="E919" s="61"/>
    </row>
    <row r="920" ht="22.5" customHeight="1">
      <c r="B920" s="62"/>
      <c r="C920" s="62"/>
      <c r="E920" s="61"/>
    </row>
    <row r="921" ht="22.5" customHeight="1">
      <c r="B921" s="62"/>
      <c r="C921" s="62"/>
      <c r="E921" s="61"/>
    </row>
    <row r="922" ht="22.5" customHeight="1">
      <c r="B922" s="62"/>
      <c r="C922" s="62"/>
      <c r="E922" s="61"/>
    </row>
    <row r="923" ht="22.5" customHeight="1">
      <c r="B923" s="62"/>
      <c r="C923" s="62"/>
      <c r="E923" s="61"/>
    </row>
    <row r="924" ht="22.5" customHeight="1">
      <c r="B924" s="62"/>
      <c r="C924" s="62"/>
      <c r="E924" s="61"/>
    </row>
    <row r="925" ht="22.5" customHeight="1">
      <c r="B925" s="62"/>
      <c r="C925" s="62"/>
      <c r="E925" s="61"/>
    </row>
    <row r="926" ht="22.5" customHeight="1">
      <c r="B926" s="62"/>
      <c r="C926" s="62"/>
      <c r="E926" s="61"/>
    </row>
    <row r="927" ht="22.5" customHeight="1">
      <c r="B927" s="62"/>
      <c r="C927" s="62"/>
      <c r="E927" s="61"/>
    </row>
    <row r="928" ht="22.5" customHeight="1">
      <c r="B928" s="62"/>
      <c r="C928" s="62"/>
      <c r="E928" s="61"/>
    </row>
    <row r="929" ht="22.5" customHeight="1">
      <c r="B929" s="62"/>
      <c r="C929" s="62"/>
      <c r="E929" s="61"/>
    </row>
    <row r="930" ht="22.5" customHeight="1">
      <c r="B930" s="62"/>
      <c r="C930" s="62"/>
      <c r="E930" s="61"/>
    </row>
    <row r="931" ht="22.5" customHeight="1">
      <c r="B931" s="62"/>
      <c r="C931" s="62"/>
      <c r="E931" s="61"/>
    </row>
    <row r="932" ht="22.5" customHeight="1">
      <c r="B932" s="62"/>
      <c r="C932" s="62"/>
      <c r="E932" s="61"/>
    </row>
    <row r="933" ht="22.5" customHeight="1">
      <c r="B933" s="62"/>
      <c r="C933" s="62"/>
      <c r="E933" s="61"/>
    </row>
    <row r="934" ht="22.5" customHeight="1">
      <c r="B934" s="62"/>
      <c r="C934" s="62"/>
      <c r="E934" s="61"/>
    </row>
    <row r="935" ht="22.5" customHeight="1">
      <c r="B935" s="62"/>
      <c r="C935" s="62"/>
      <c r="E935" s="61"/>
    </row>
    <row r="936" ht="22.5" customHeight="1">
      <c r="B936" s="62"/>
      <c r="C936" s="62"/>
      <c r="E936" s="61"/>
    </row>
    <row r="937" ht="22.5" customHeight="1">
      <c r="B937" s="62"/>
      <c r="C937" s="62"/>
      <c r="E937" s="61"/>
    </row>
    <row r="938" ht="22.5" customHeight="1">
      <c r="B938" s="62"/>
      <c r="C938" s="62"/>
      <c r="E938" s="61"/>
    </row>
    <row r="939" ht="22.5" customHeight="1">
      <c r="B939" s="62"/>
      <c r="C939" s="62"/>
      <c r="E939" s="61"/>
    </row>
    <row r="940" ht="22.5" customHeight="1">
      <c r="B940" s="62"/>
      <c r="C940" s="62"/>
      <c r="E940" s="61"/>
    </row>
    <row r="941" ht="22.5" customHeight="1">
      <c r="B941" s="62"/>
      <c r="C941" s="62"/>
      <c r="E941" s="61"/>
    </row>
    <row r="942" ht="22.5" customHeight="1">
      <c r="B942" s="62"/>
      <c r="C942" s="62"/>
      <c r="E942" s="61"/>
    </row>
    <row r="943" ht="22.5" customHeight="1">
      <c r="B943" s="62"/>
      <c r="C943" s="62"/>
      <c r="E943" s="61"/>
    </row>
    <row r="944" ht="22.5" customHeight="1">
      <c r="B944" s="62"/>
      <c r="C944" s="62"/>
      <c r="E944" s="61"/>
    </row>
    <row r="945" ht="22.5" customHeight="1">
      <c r="B945" s="62"/>
      <c r="C945" s="62"/>
      <c r="E945" s="61"/>
    </row>
    <row r="946" ht="22.5" customHeight="1">
      <c r="B946" s="62"/>
      <c r="C946" s="62"/>
      <c r="E946" s="61"/>
    </row>
    <row r="947" ht="22.5" customHeight="1">
      <c r="B947" s="62"/>
      <c r="C947" s="62"/>
      <c r="E947" s="61"/>
    </row>
    <row r="948" ht="22.5" customHeight="1">
      <c r="B948" s="62"/>
      <c r="C948" s="62"/>
      <c r="E948" s="61"/>
    </row>
    <row r="949" ht="22.5" customHeight="1">
      <c r="B949" s="62"/>
      <c r="C949" s="62"/>
      <c r="E949" s="61"/>
    </row>
    <row r="950" ht="22.5" customHeight="1">
      <c r="B950" s="62"/>
      <c r="C950" s="62"/>
      <c r="E950" s="61"/>
    </row>
    <row r="951" ht="22.5" customHeight="1">
      <c r="B951" s="62"/>
      <c r="C951" s="62"/>
      <c r="E951" s="61"/>
    </row>
    <row r="952" ht="22.5" customHeight="1">
      <c r="B952" s="62"/>
      <c r="C952" s="62"/>
      <c r="E952" s="61"/>
    </row>
    <row r="953" ht="22.5" customHeight="1">
      <c r="B953" s="62"/>
      <c r="C953" s="62"/>
      <c r="E953" s="61"/>
    </row>
    <row r="954" ht="22.5" customHeight="1">
      <c r="B954" s="62"/>
      <c r="C954" s="62"/>
      <c r="E954" s="61"/>
    </row>
    <row r="955" ht="22.5" customHeight="1">
      <c r="B955" s="62"/>
      <c r="C955" s="62"/>
      <c r="E955" s="61"/>
    </row>
    <row r="956" ht="22.5" customHeight="1">
      <c r="B956" s="62"/>
      <c r="C956" s="62"/>
      <c r="E956" s="61"/>
    </row>
    <row r="957" ht="22.5" customHeight="1">
      <c r="B957" s="62"/>
      <c r="C957" s="62"/>
      <c r="E957" s="61"/>
    </row>
    <row r="958" ht="22.5" customHeight="1">
      <c r="B958" s="62"/>
      <c r="C958" s="62"/>
      <c r="E958" s="61"/>
    </row>
    <row r="959" ht="22.5" customHeight="1">
      <c r="B959" s="62"/>
      <c r="C959" s="62"/>
      <c r="E959" s="61"/>
    </row>
    <row r="960" ht="22.5" customHeight="1">
      <c r="B960" s="62"/>
      <c r="C960" s="62"/>
      <c r="E960" s="61"/>
    </row>
    <row r="961" ht="22.5" customHeight="1">
      <c r="B961" s="62"/>
      <c r="C961" s="62"/>
      <c r="E961" s="61"/>
    </row>
    <row r="962" ht="22.5" customHeight="1">
      <c r="B962" s="62"/>
      <c r="C962" s="62"/>
      <c r="E962" s="61"/>
    </row>
    <row r="963" ht="22.5" customHeight="1">
      <c r="B963" s="62"/>
      <c r="C963" s="62"/>
      <c r="E963" s="61"/>
    </row>
    <row r="964" ht="22.5" customHeight="1">
      <c r="B964" s="62"/>
      <c r="C964" s="62"/>
      <c r="E964" s="61"/>
    </row>
    <row r="965" ht="22.5" customHeight="1">
      <c r="B965" s="62"/>
      <c r="C965" s="62"/>
      <c r="E965" s="61"/>
    </row>
    <row r="966" ht="22.5" customHeight="1">
      <c r="B966" s="62"/>
      <c r="C966" s="62"/>
      <c r="E966" s="61"/>
    </row>
    <row r="967" ht="22.5" customHeight="1">
      <c r="B967" s="62"/>
      <c r="C967" s="62"/>
      <c r="E967" s="61"/>
    </row>
    <row r="968" ht="22.5" customHeight="1">
      <c r="B968" s="62"/>
      <c r="C968" s="62"/>
      <c r="E968" s="61"/>
    </row>
    <row r="969" ht="22.5" customHeight="1">
      <c r="B969" s="62"/>
      <c r="C969" s="62"/>
      <c r="E969" s="61"/>
    </row>
    <row r="970" ht="22.5" customHeight="1">
      <c r="B970" s="62"/>
      <c r="C970" s="62"/>
      <c r="E970" s="61"/>
    </row>
    <row r="971" ht="22.5" customHeight="1">
      <c r="B971" s="62"/>
      <c r="C971" s="62"/>
      <c r="E971" s="61"/>
    </row>
    <row r="972" ht="22.5" customHeight="1">
      <c r="B972" s="62"/>
      <c r="C972" s="62"/>
      <c r="E972" s="61"/>
    </row>
    <row r="973" ht="22.5" customHeight="1">
      <c r="B973" s="62"/>
      <c r="C973" s="62"/>
      <c r="E973" s="61"/>
    </row>
    <row r="974" ht="22.5" customHeight="1">
      <c r="B974" s="62"/>
      <c r="C974" s="62"/>
      <c r="E974" s="61"/>
    </row>
    <row r="975" ht="22.5" customHeight="1">
      <c r="B975" s="62"/>
      <c r="C975" s="62"/>
      <c r="E975" s="61"/>
    </row>
    <row r="976" ht="22.5" customHeight="1">
      <c r="B976" s="62"/>
      <c r="C976" s="62"/>
      <c r="E976" s="61"/>
    </row>
    <row r="977" ht="22.5" customHeight="1">
      <c r="B977" s="62"/>
      <c r="C977" s="62"/>
      <c r="E977" s="61"/>
    </row>
    <row r="978" ht="22.5" customHeight="1">
      <c r="B978" s="62"/>
      <c r="C978" s="62"/>
      <c r="E978" s="61"/>
    </row>
    <row r="979" ht="22.5" customHeight="1">
      <c r="B979" s="62"/>
      <c r="C979" s="62"/>
      <c r="E979" s="61"/>
    </row>
    <row r="980" ht="22.5" customHeight="1">
      <c r="B980" s="62"/>
      <c r="C980" s="62"/>
      <c r="E980" s="61"/>
    </row>
    <row r="981" ht="22.5" customHeight="1">
      <c r="B981" s="62"/>
      <c r="C981" s="62"/>
      <c r="E981" s="61"/>
    </row>
    <row r="982" ht="22.5" customHeight="1">
      <c r="B982" s="62"/>
      <c r="C982" s="62"/>
      <c r="E982" s="61"/>
    </row>
    <row r="983" ht="22.5" customHeight="1">
      <c r="B983" s="62"/>
      <c r="C983" s="62"/>
      <c r="E983" s="61"/>
    </row>
    <row r="984" ht="22.5" customHeight="1">
      <c r="B984" s="62"/>
      <c r="C984" s="62"/>
      <c r="E984" s="61"/>
    </row>
    <row r="985" ht="22.5" customHeight="1">
      <c r="B985" s="62"/>
      <c r="C985" s="62"/>
      <c r="E985" s="61"/>
    </row>
    <row r="986" ht="22.5" customHeight="1">
      <c r="B986" s="62"/>
      <c r="C986" s="62"/>
      <c r="E986" s="61"/>
    </row>
    <row r="987" ht="22.5" customHeight="1">
      <c r="B987" s="62"/>
      <c r="C987" s="62"/>
      <c r="E987" s="61"/>
    </row>
    <row r="988" ht="22.5" customHeight="1">
      <c r="B988" s="62"/>
      <c r="C988" s="62"/>
      <c r="E988" s="61"/>
    </row>
    <row r="989" ht="22.5" customHeight="1">
      <c r="B989" s="62"/>
      <c r="C989" s="62"/>
      <c r="E989" s="61"/>
    </row>
    <row r="990" ht="22.5" customHeight="1">
      <c r="B990" s="62"/>
      <c r="C990" s="62"/>
      <c r="E990" s="61"/>
    </row>
    <row r="991" ht="22.5" customHeight="1">
      <c r="B991" s="62"/>
      <c r="C991" s="62"/>
      <c r="E991" s="61"/>
    </row>
    <row r="992" ht="22.5" customHeight="1">
      <c r="B992" s="62"/>
      <c r="C992" s="62"/>
      <c r="E992" s="61"/>
    </row>
    <row r="993" ht="22.5" customHeight="1">
      <c r="B993" s="62"/>
      <c r="C993" s="62"/>
      <c r="E993" s="61"/>
    </row>
    <row r="994" ht="22.5" customHeight="1">
      <c r="B994" s="62"/>
      <c r="C994" s="62"/>
      <c r="E994" s="61"/>
    </row>
    <row r="995" ht="22.5" customHeight="1">
      <c r="B995" s="62"/>
      <c r="C995" s="62"/>
      <c r="E995" s="61"/>
    </row>
    <row r="996" ht="22.5" customHeight="1">
      <c r="B996" s="62"/>
      <c r="C996" s="62"/>
      <c r="E996" s="61"/>
    </row>
    <row r="997" ht="22.5" customHeight="1">
      <c r="B997" s="62"/>
      <c r="C997" s="62"/>
      <c r="E997" s="61"/>
    </row>
    <row r="998" ht="22.5" customHeight="1">
      <c r="B998" s="62"/>
      <c r="C998" s="62"/>
      <c r="E998" s="61"/>
    </row>
    <row r="999" ht="22.5" customHeight="1">
      <c r="B999" s="62"/>
      <c r="C999" s="62"/>
      <c r="E999" s="61"/>
    </row>
    <row r="1000" ht="22.5" customHeight="1">
      <c r="B1000" s="62"/>
      <c r="C1000" s="62"/>
      <c r="E1000" s="61"/>
    </row>
    <row r="1001" ht="22.5" customHeight="1">
      <c r="B1001" s="62"/>
      <c r="C1001" s="62"/>
      <c r="E1001" s="61"/>
    </row>
    <row r="1002" ht="22.5" customHeight="1">
      <c r="B1002" s="62"/>
      <c r="C1002" s="62"/>
      <c r="E1002" s="61"/>
    </row>
    <row r="1003" ht="22.5" customHeight="1">
      <c r="B1003" s="62"/>
      <c r="C1003" s="62"/>
      <c r="E1003" s="61"/>
    </row>
    <row r="1004" ht="22.5" customHeight="1">
      <c r="B1004" s="62"/>
      <c r="C1004" s="62"/>
      <c r="E1004" s="61"/>
    </row>
    <row r="1005" ht="22.5" customHeight="1">
      <c r="B1005" s="62"/>
      <c r="C1005" s="62"/>
      <c r="E1005" s="61"/>
    </row>
    <row r="1006" ht="22.5" customHeight="1">
      <c r="B1006" s="62"/>
      <c r="C1006" s="62"/>
      <c r="E1006" s="61"/>
    </row>
    <row r="1007" ht="22.5" customHeight="1">
      <c r="B1007" s="62"/>
      <c r="C1007" s="62"/>
      <c r="E1007" s="61"/>
    </row>
    <row r="1008" ht="22.5" customHeight="1">
      <c r="B1008" s="62"/>
      <c r="C1008" s="62"/>
      <c r="E1008" s="61"/>
    </row>
    <row r="1009" ht="22.5" customHeight="1">
      <c r="B1009" s="62"/>
      <c r="C1009" s="62"/>
      <c r="E1009" s="61"/>
    </row>
    <row r="1010" ht="22.5" customHeight="1">
      <c r="B1010" s="62"/>
      <c r="C1010" s="62"/>
      <c r="E1010" s="61"/>
    </row>
    <row r="1011" ht="22.5" customHeight="1">
      <c r="B1011" s="62"/>
      <c r="C1011" s="62"/>
      <c r="E1011" s="61"/>
    </row>
    <row r="1012" ht="22.5" customHeight="1">
      <c r="B1012" s="62"/>
      <c r="C1012" s="62"/>
      <c r="E1012" s="61"/>
    </row>
    <row r="1013" ht="22.5" customHeight="1">
      <c r="B1013" s="62"/>
      <c r="C1013" s="62"/>
      <c r="E1013" s="61"/>
    </row>
    <row r="1014" ht="22.5" customHeight="1">
      <c r="B1014" s="62"/>
      <c r="C1014" s="62"/>
      <c r="E1014" s="61"/>
    </row>
    <row r="1015" ht="22.5" customHeight="1">
      <c r="B1015" s="62"/>
      <c r="C1015" s="62"/>
      <c r="E1015" s="61"/>
    </row>
    <row r="1016" ht="22.5" customHeight="1">
      <c r="B1016" s="62"/>
      <c r="C1016" s="62"/>
      <c r="E1016" s="61"/>
    </row>
    <row r="1017" ht="22.5" customHeight="1">
      <c r="B1017" s="62"/>
      <c r="C1017" s="62"/>
      <c r="E1017" s="61"/>
    </row>
    <row r="1018" ht="22.5" customHeight="1">
      <c r="B1018" s="62"/>
      <c r="C1018" s="62"/>
      <c r="E1018" s="61"/>
    </row>
    <row r="1019" ht="22.5" customHeight="1">
      <c r="B1019" s="62"/>
      <c r="C1019" s="62"/>
      <c r="E1019" s="61"/>
    </row>
    <row r="1020" ht="22.5" customHeight="1">
      <c r="B1020" s="62"/>
      <c r="C1020" s="62"/>
      <c r="E1020" s="61"/>
    </row>
    <row r="1021" ht="22.5" customHeight="1">
      <c r="B1021" s="62"/>
      <c r="C1021" s="62"/>
      <c r="E1021" s="61"/>
    </row>
    <row r="1022" ht="22.5" customHeight="1">
      <c r="B1022" s="62"/>
      <c r="C1022" s="62"/>
      <c r="E1022" s="61"/>
    </row>
    <row r="1023" ht="22.5" customHeight="1">
      <c r="B1023" s="62"/>
      <c r="C1023" s="62"/>
      <c r="E1023" s="61"/>
    </row>
    <row r="1024" ht="22.5" customHeight="1">
      <c r="B1024" s="62"/>
      <c r="C1024" s="62"/>
      <c r="E1024" s="61"/>
    </row>
    <row r="1025" ht="22.5" customHeight="1">
      <c r="B1025" s="62"/>
      <c r="C1025" s="62"/>
      <c r="E1025" s="61"/>
    </row>
    <row r="1026" ht="22.5" customHeight="1">
      <c r="B1026" s="62"/>
      <c r="C1026" s="62"/>
      <c r="E1026" s="61"/>
    </row>
    <row r="1027" ht="22.5" customHeight="1">
      <c r="B1027" s="62"/>
      <c r="C1027" s="62"/>
      <c r="E1027" s="61"/>
    </row>
    <row r="1028" ht="22.5" customHeight="1">
      <c r="B1028" s="62"/>
      <c r="C1028" s="62"/>
      <c r="E1028" s="61"/>
    </row>
    <row r="1029" ht="22.5" customHeight="1">
      <c r="B1029" s="62"/>
      <c r="C1029" s="62"/>
      <c r="E1029" s="61"/>
    </row>
    <row r="1030" ht="22.5" customHeight="1">
      <c r="B1030" s="62"/>
      <c r="C1030" s="62"/>
      <c r="E1030" s="61"/>
    </row>
    <row r="1031" ht="22.5" customHeight="1">
      <c r="B1031" s="62"/>
      <c r="C1031" s="62"/>
      <c r="E1031" s="61"/>
    </row>
    <row r="1032" ht="22.5" customHeight="1">
      <c r="B1032" s="62"/>
      <c r="C1032" s="62"/>
      <c r="E1032" s="61"/>
    </row>
    <row r="1033" ht="22.5" customHeight="1">
      <c r="B1033" s="62"/>
      <c r="C1033" s="62"/>
      <c r="E1033" s="61"/>
    </row>
    <row r="1034" ht="22.5" customHeight="1">
      <c r="B1034" s="62"/>
      <c r="C1034" s="62"/>
      <c r="E1034" s="61"/>
    </row>
    <row r="1035" ht="22.5" customHeight="1">
      <c r="B1035" s="62"/>
      <c r="C1035" s="62"/>
      <c r="E1035" s="61"/>
    </row>
    <row r="1036" ht="22.5" customHeight="1">
      <c r="B1036" s="62"/>
      <c r="C1036" s="62"/>
      <c r="E1036" s="61"/>
    </row>
    <row r="1037" ht="22.5" customHeight="1">
      <c r="B1037" s="62"/>
      <c r="C1037" s="62"/>
      <c r="E1037" s="61"/>
    </row>
    <row r="1038" ht="22.5" customHeight="1">
      <c r="B1038" s="62"/>
      <c r="C1038" s="62"/>
      <c r="E1038" s="61"/>
    </row>
    <row r="1039" ht="22.5" customHeight="1">
      <c r="B1039" s="62"/>
      <c r="C1039" s="62"/>
      <c r="E1039" s="61"/>
    </row>
    <row r="1040" ht="22.5" customHeight="1">
      <c r="B1040" s="62"/>
      <c r="C1040" s="62"/>
      <c r="E1040" s="61"/>
    </row>
    <row r="1041" ht="22.5" customHeight="1">
      <c r="B1041" s="62"/>
      <c r="C1041" s="62"/>
      <c r="E1041" s="61"/>
    </row>
    <row r="1042" ht="22.5" customHeight="1">
      <c r="B1042" s="62"/>
      <c r="C1042" s="62"/>
      <c r="E1042" s="61"/>
    </row>
    <row r="1043" ht="22.5" customHeight="1">
      <c r="B1043" s="62"/>
      <c r="C1043" s="62"/>
      <c r="E1043" s="61"/>
    </row>
    <row r="1044" ht="22.5" customHeight="1">
      <c r="B1044" s="62"/>
      <c r="C1044" s="62"/>
      <c r="E1044" s="61"/>
    </row>
    <row r="1045" ht="22.5" customHeight="1">
      <c r="B1045" s="62"/>
      <c r="C1045" s="62"/>
      <c r="E1045" s="61"/>
    </row>
    <row r="1046" ht="22.5" customHeight="1">
      <c r="B1046" s="62"/>
      <c r="C1046" s="62"/>
      <c r="E1046" s="61"/>
    </row>
    <row r="1047" ht="22.5" customHeight="1">
      <c r="B1047" s="62"/>
      <c r="C1047" s="62"/>
      <c r="E1047" s="61"/>
    </row>
    <row r="1048" ht="22.5" customHeight="1">
      <c r="B1048" s="62"/>
      <c r="C1048" s="62"/>
      <c r="E1048" s="61"/>
    </row>
    <row r="1049" ht="22.5" customHeight="1">
      <c r="B1049" s="62"/>
      <c r="C1049" s="62"/>
      <c r="E1049" s="61"/>
    </row>
    <row r="1050" ht="22.5" customHeight="1">
      <c r="B1050" s="62"/>
      <c r="C1050" s="62"/>
      <c r="E1050" s="61"/>
    </row>
    <row r="1051" ht="22.5" customHeight="1">
      <c r="B1051" s="62"/>
      <c r="C1051" s="62"/>
      <c r="E1051" s="61"/>
    </row>
    <row r="1052" ht="22.5" customHeight="1">
      <c r="B1052" s="62"/>
      <c r="C1052" s="62"/>
      <c r="E1052" s="61"/>
    </row>
    <row r="1053" ht="22.5" customHeight="1">
      <c r="B1053" s="62"/>
      <c r="C1053" s="62"/>
      <c r="E1053" s="61"/>
    </row>
    <row r="1054" ht="22.5" customHeight="1">
      <c r="B1054" s="62"/>
      <c r="C1054" s="62"/>
      <c r="E1054" s="61"/>
    </row>
    <row r="1055" ht="22.5" customHeight="1">
      <c r="B1055" s="62"/>
      <c r="C1055" s="62"/>
      <c r="E1055" s="61"/>
    </row>
    <row r="1056" ht="22.5" customHeight="1">
      <c r="B1056" s="62"/>
      <c r="C1056" s="62"/>
      <c r="E1056" s="61"/>
    </row>
    <row r="1057" ht="22.5" customHeight="1">
      <c r="B1057" s="62"/>
      <c r="C1057" s="62"/>
      <c r="E1057" s="61"/>
    </row>
    <row r="1058" ht="22.5" customHeight="1">
      <c r="B1058" s="62"/>
      <c r="C1058" s="62"/>
      <c r="E1058" s="61"/>
    </row>
    <row r="1059" ht="22.5" customHeight="1">
      <c r="B1059" s="62"/>
      <c r="C1059" s="62"/>
      <c r="E1059" s="61"/>
    </row>
    <row r="1060" ht="22.5" customHeight="1">
      <c r="B1060" s="62"/>
      <c r="C1060" s="62"/>
      <c r="E1060" s="61"/>
    </row>
    <row r="1061" ht="22.5" customHeight="1">
      <c r="B1061" s="62"/>
      <c r="C1061" s="62"/>
      <c r="E1061" s="61"/>
    </row>
    <row r="1062" ht="22.5" customHeight="1">
      <c r="B1062" s="62"/>
      <c r="C1062" s="62"/>
      <c r="E1062" s="61"/>
    </row>
    <row r="1063" ht="22.5" customHeight="1">
      <c r="B1063" s="62"/>
      <c r="C1063" s="62"/>
      <c r="E1063" s="61"/>
    </row>
    <row r="1064" ht="22.5" customHeight="1">
      <c r="B1064" s="62"/>
      <c r="C1064" s="62"/>
      <c r="E1064" s="61"/>
    </row>
    <row r="1065" ht="22.5" customHeight="1">
      <c r="B1065" s="62"/>
      <c r="C1065" s="62"/>
      <c r="E1065" s="61"/>
    </row>
    <row r="1066" ht="22.5" customHeight="1">
      <c r="B1066" s="62"/>
      <c r="C1066" s="62"/>
      <c r="E1066" s="61"/>
    </row>
    <row r="1067" ht="22.5" customHeight="1">
      <c r="B1067" s="62"/>
      <c r="C1067" s="62"/>
      <c r="E1067" s="61"/>
    </row>
    <row r="1068" ht="22.5" customHeight="1">
      <c r="B1068" s="62"/>
      <c r="C1068" s="62"/>
      <c r="E1068" s="61"/>
    </row>
    <row r="1069" ht="22.5" customHeight="1">
      <c r="B1069" s="62"/>
      <c r="C1069" s="62"/>
      <c r="E1069" s="61"/>
    </row>
    <row r="1070" ht="22.5" customHeight="1">
      <c r="B1070" s="62"/>
      <c r="C1070" s="62"/>
      <c r="E1070" s="61"/>
    </row>
    <row r="1071" ht="22.5" customHeight="1">
      <c r="B1071" s="62"/>
      <c r="C1071" s="62"/>
      <c r="E1071" s="61"/>
    </row>
    <row r="1072" ht="22.5" customHeight="1">
      <c r="B1072" s="62"/>
      <c r="C1072" s="62"/>
      <c r="E1072" s="61"/>
    </row>
    <row r="1073" ht="22.5" customHeight="1">
      <c r="B1073" s="62"/>
      <c r="C1073" s="62"/>
      <c r="E1073" s="61"/>
    </row>
    <row r="1074" ht="22.5" customHeight="1">
      <c r="B1074" s="62"/>
      <c r="C1074" s="62"/>
      <c r="E1074" s="61"/>
    </row>
    <row r="1075" ht="22.5" customHeight="1">
      <c r="B1075" s="62"/>
      <c r="C1075" s="62"/>
      <c r="E1075" s="61"/>
    </row>
    <row r="1076" ht="22.5" customHeight="1">
      <c r="B1076" s="62"/>
      <c r="C1076" s="62"/>
      <c r="E1076" s="61"/>
    </row>
    <row r="1077" ht="22.5" customHeight="1">
      <c r="B1077" s="62"/>
      <c r="C1077" s="62"/>
      <c r="E1077" s="61"/>
    </row>
    <row r="1078" ht="22.5" customHeight="1">
      <c r="B1078" s="62"/>
      <c r="C1078" s="62"/>
      <c r="E1078" s="61"/>
    </row>
    <row r="1079" ht="22.5" customHeight="1">
      <c r="B1079" s="62"/>
      <c r="C1079" s="62"/>
      <c r="E1079" s="61"/>
    </row>
    <row r="1080" ht="22.5" customHeight="1">
      <c r="B1080" s="62"/>
      <c r="C1080" s="62"/>
      <c r="E1080" s="61"/>
    </row>
    <row r="1081" ht="22.5" customHeight="1">
      <c r="B1081" s="62"/>
      <c r="C1081" s="62"/>
      <c r="E1081" s="61"/>
    </row>
    <row r="1082" ht="22.5" customHeight="1">
      <c r="B1082" s="62"/>
      <c r="C1082" s="62"/>
      <c r="E1082" s="61"/>
    </row>
    <row r="1083" ht="22.5" customHeight="1">
      <c r="B1083" s="62"/>
      <c r="C1083" s="62"/>
      <c r="E1083" s="61"/>
    </row>
    <row r="1084" ht="22.5" customHeight="1">
      <c r="B1084" s="62"/>
      <c r="C1084" s="62"/>
      <c r="E1084" s="61"/>
    </row>
    <row r="1085" ht="22.5" customHeight="1">
      <c r="B1085" s="62"/>
      <c r="C1085" s="62"/>
      <c r="E1085" s="61"/>
    </row>
    <row r="1086" ht="22.5" customHeight="1">
      <c r="B1086" s="62"/>
      <c r="C1086" s="62"/>
      <c r="E1086" s="61"/>
    </row>
    <row r="1087" ht="22.5" customHeight="1">
      <c r="B1087" s="62"/>
      <c r="C1087" s="62"/>
      <c r="E1087" s="61"/>
    </row>
    <row r="1088" ht="22.5" customHeight="1">
      <c r="B1088" s="62"/>
      <c r="C1088" s="62"/>
      <c r="E1088" s="61"/>
    </row>
    <row r="1089" ht="22.5" customHeight="1">
      <c r="B1089" s="62"/>
      <c r="C1089" s="62"/>
      <c r="E1089" s="61"/>
    </row>
    <row r="1090" ht="22.5" customHeight="1">
      <c r="B1090" s="62"/>
      <c r="C1090" s="62"/>
      <c r="E1090" s="61"/>
    </row>
    <row r="1091" ht="22.5" customHeight="1">
      <c r="B1091" s="62"/>
      <c r="C1091" s="62"/>
      <c r="E1091" s="61"/>
    </row>
    <row r="1092" ht="22.5" customHeight="1">
      <c r="B1092" s="62"/>
      <c r="C1092" s="62"/>
      <c r="E1092" s="61"/>
    </row>
    <row r="1093" ht="22.5" customHeight="1">
      <c r="B1093" s="62"/>
      <c r="C1093" s="62"/>
      <c r="E1093" s="61"/>
    </row>
    <row r="1094" ht="22.5" customHeight="1">
      <c r="B1094" s="62"/>
      <c r="C1094" s="62"/>
      <c r="E1094" s="61"/>
    </row>
    <row r="1095" ht="22.5" customHeight="1">
      <c r="B1095" s="62"/>
      <c r="C1095" s="62"/>
      <c r="E1095" s="61"/>
    </row>
    <row r="1096" ht="22.5" customHeight="1">
      <c r="B1096" s="62"/>
      <c r="C1096" s="62"/>
      <c r="E1096" s="61"/>
    </row>
    <row r="1097" ht="22.5" customHeight="1">
      <c r="B1097" s="62"/>
      <c r="C1097" s="62"/>
      <c r="E1097" s="61"/>
    </row>
    <row r="1098" ht="22.5" customHeight="1">
      <c r="B1098" s="62"/>
      <c r="C1098" s="62"/>
      <c r="E1098" s="61"/>
    </row>
    <row r="1099" ht="22.5" customHeight="1">
      <c r="B1099" s="62"/>
      <c r="C1099" s="62"/>
      <c r="E1099" s="61"/>
    </row>
    <row r="1100" ht="22.5" customHeight="1">
      <c r="B1100" s="62"/>
      <c r="C1100" s="62"/>
      <c r="E1100" s="61"/>
    </row>
    <row r="1101" ht="22.5" customHeight="1">
      <c r="B1101" s="62"/>
      <c r="C1101" s="62"/>
      <c r="E1101" s="61"/>
    </row>
    <row r="1102" ht="22.5" customHeight="1">
      <c r="B1102" s="62"/>
      <c r="C1102" s="62"/>
      <c r="E1102" s="61"/>
    </row>
    <row r="1103" ht="22.5" customHeight="1">
      <c r="B1103" s="62"/>
      <c r="C1103" s="62"/>
      <c r="E1103" s="61"/>
    </row>
    <row r="1104" ht="22.5" customHeight="1">
      <c r="B1104" s="62"/>
      <c r="C1104" s="62"/>
      <c r="E1104" s="61"/>
    </row>
    <row r="1105" ht="22.5" customHeight="1">
      <c r="B1105" s="62"/>
      <c r="C1105" s="62"/>
      <c r="E1105" s="61"/>
    </row>
    <row r="1106" ht="22.5" customHeight="1">
      <c r="B1106" s="62"/>
      <c r="C1106" s="62"/>
      <c r="E1106" s="61"/>
    </row>
    <row r="1107" ht="22.5" customHeight="1">
      <c r="B1107" s="62"/>
      <c r="C1107" s="62"/>
      <c r="E1107" s="61"/>
    </row>
    <row r="1108" ht="22.5" customHeight="1">
      <c r="B1108" s="62"/>
      <c r="C1108" s="62"/>
      <c r="E1108" s="61"/>
    </row>
    <row r="1109" ht="22.5" customHeight="1">
      <c r="B1109" s="62"/>
      <c r="C1109" s="62"/>
      <c r="E1109" s="61"/>
    </row>
    <row r="1110" ht="22.5" customHeight="1">
      <c r="B1110" s="62"/>
      <c r="C1110" s="62"/>
      <c r="E1110" s="61"/>
    </row>
    <row r="1111" ht="22.5" customHeight="1">
      <c r="B1111" s="62"/>
      <c r="C1111" s="62"/>
      <c r="E1111" s="61"/>
    </row>
    <row r="1112" ht="22.5" customHeight="1">
      <c r="B1112" s="62"/>
      <c r="C1112" s="62"/>
      <c r="E1112" s="61"/>
    </row>
    <row r="1113" ht="22.5" customHeight="1">
      <c r="B1113" s="62"/>
      <c r="C1113" s="62"/>
      <c r="E1113" s="61"/>
    </row>
    <row r="1114" ht="22.5" customHeight="1">
      <c r="B1114" s="62"/>
      <c r="C1114" s="62"/>
      <c r="E1114" s="61"/>
    </row>
    <row r="1115" ht="22.5" customHeight="1">
      <c r="B1115" s="62"/>
      <c r="C1115" s="62"/>
      <c r="E1115" s="61"/>
    </row>
    <row r="1116" ht="22.5" customHeight="1">
      <c r="B1116" s="62"/>
      <c r="C1116" s="62"/>
      <c r="E1116" s="61"/>
    </row>
    <row r="1117" ht="22.5" customHeight="1">
      <c r="B1117" s="62"/>
      <c r="C1117" s="62"/>
      <c r="E1117" s="61"/>
    </row>
    <row r="1118" ht="22.5" customHeight="1">
      <c r="B1118" s="62"/>
      <c r="C1118" s="62"/>
      <c r="E1118" s="61"/>
    </row>
    <row r="1119" ht="22.5" customHeight="1">
      <c r="B1119" s="62"/>
      <c r="C1119" s="62"/>
      <c r="E1119" s="61"/>
    </row>
    <row r="1120" ht="22.5" customHeight="1">
      <c r="B1120" s="62"/>
      <c r="C1120" s="62"/>
      <c r="E1120" s="61"/>
    </row>
    <row r="1121" ht="22.5" customHeight="1">
      <c r="B1121" s="62"/>
      <c r="C1121" s="62"/>
      <c r="E1121" s="61"/>
    </row>
    <row r="1122" ht="22.5" customHeight="1">
      <c r="B1122" s="62"/>
      <c r="C1122" s="62"/>
      <c r="E1122" s="61"/>
    </row>
    <row r="1123" ht="22.5" customHeight="1">
      <c r="B1123" s="62"/>
      <c r="C1123" s="62"/>
      <c r="E1123" s="61"/>
    </row>
    <row r="1124" ht="22.5" customHeight="1">
      <c r="B1124" s="62"/>
      <c r="C1124" s="62"/>
      <c r="E1124" s="61"/>
    </row>
    <row r="1125" ht="22.5" customHeight="1">
      <c r="B1125" s="62"/>
      <c r="C1125" s="62"/>
      <c r="E1125" s="61"/>
    </row>
    <row r="1126" ht="22.5" customHeight="1">
      <c r="B1126" s="62"/>
      <c r="C1126" s="62"/>
      <c r="E1126" s="61"/>
    </row>
    <row r="1127" ht="22.5" customHeight="1">
      <c r="B1127" s="62"/>
      <c r="C1127" s="62"/>
      <c r="E1127" s="61"/>
    </row>
    <row r="1128" ht="22.5" customHeight="1">
      <c r="B1128" s="62"/>
      <c r="C1128" s="62"/>
      <c r="E1128" s="61"/>
    </row>
    <row r="1129" ht="22.5" customHeight="1">
      <c r="B1129" s="62"/>
      <c r="C1129" s="62"/>
      <c r="E1129" s="61"/>
    </row>
    <row r="1130" ht="22.5" customHeight="1">
      <c r="B1130" s="62"/>
      <c r="C1130" s="62"/>
      <c r="E1130" s="61"/>
    </row>
    <row r="1131" ht="22.5" customHeight="1">
      <c r="B1131" s="62"/>
      <c r="C1131" s="62"/>
      <c r="E1131" s="61"/>
    </row>
    <row r="1132" ht="22.5" customHeight="1">
      <c r="B1132" s="62"/>
      <c r="C1132" s="62"/>
      <c r="E1132" s="61"/>
    </row>
    <row r="1133" ht="22.5" customHeight="1">
      <c r="B1133" s="62"/>
      <c r="C1133" s="62"/>
      <c r="E1133" s="61"/>
    </row>
    <row r="1134" ht="22.5" customHeight="1">
      <c r="B1134" s="62"/>
      <c r="C1134" s="62"/>
      <c r="E1134" s="61"/>
    </row>
    <row r="1135" ht="22.5" customHeight="1">
      <c r="B1135" s="62"/>
      <c r="C1135" s="62"/>
      <c r="E1135" s="61"/>
    </row>
    <row r="1136" ht="22.5" customHeight="1">
      <c r="B1136" s="62"/>
      <c r="C1136" s="62"/>
      <c r="E1136" s="61"/>
    </row>
    <row r="1137" ht="22.5" customHeight="1">
      <c r="B1137" s="62"/>
      <c r="C1137" s="62"/>
      <c r="E1137" s="61"/>
    </row>
    <row r="1138" ht="22.5" customHeight="1">
      <c r="B1138" s="62"/>
      <c r="C1138" s="62"/>
      <c r="E1138" s="61"/>
    </row>
    <row r="1139" ht="22.5" customHeight="1">
      <c r="B1139" s="62"/>
      <c r="C1139" s="62"/>
      <c r="E1139" s="61"/>
    </row>
    <row r="1140" ht="22.5" customHeight="1">
      <c r="B1140" s="62"/>
      <c r="C1140" s="62"/>
      <c r="E1140" s="61"/>
    </row>
    <row r="1141" ht="22.5" customHeight="1">
      <c r="B1141" s="62"/>
      <c r="C1141" s="62"/>
      <c r="E1141" s="61"/>
    </row>
    <row r="1142" ht="22.5" customHeight="1">
      <c r="B1142" s="62"/>
      <c r="C1142" s="62"/>
      <c r="E1142" s="61"/>
    </row>
    <row r="1143" ht="22.5" customHeight="1">
      <c r="B1143" s="62"/>
      <c r="C1143" s="62"/>
      <c r="E1143" s="61"/>
    </row>
    <row r="1144" ht="22.5" customHeight="1">
      <c r="B1144" s="62"/>
      <c r="C1144" s="62"/>
      <c r="E1144" s="61"/>
    </row>
    <row r="1145" ht="22.5" customHeight="1">
      <c r="B1145" s="62"/>
      <c r="C1145" s="62"/>
      <c r="E1145" s="61"/>
    </row>
    <row r="1146" ht="22.5" customHeight="1">
      <c r="B1146" s="62"/>
      <c r="C1146" s="62"/>
      <c r="E1146" s="61"/>
    </row>
    <row r="1147" ht="22.5" customHeight="1">
      <c r="B1147" s="62"/>
      <c r="C1147" s="62"/>
      <c r="E1147" s="61"/>
    </row>
    <row r="1148" ht="22.5" customHeight="1">
      <c r="B1148" s="62"/>
      <c r="C1148" s="62"/>
      <c r="E1148" s="61"/>
    </row>
    <row r="1149" ht="22.5" customHeight="1">
      <c r="B1149" s="62"/>
      <c r="C1149" s="62"/>
      <c r="E1149" s="61"/>
    </row>
    <row r="1150" ht="22.5" customHeight="1">
      <c r="B1150" s="62"/>
      <c r="C1150" s="62"/>
      <c r="E1150" s="61"/>
    </row>
    <row r="1151" ht="22.5" customHeight="1">
      <c r="B1151" s="62"/>
      <c r="C1151" s="62"/>
      <c r="E1151" s="61"/>
    </row>
    <row r="1152" ht="22.5" customHeight="1">
      <c r="B1152" s="62"/>
      <c r="C1152" s="62"/>
      <c r="E1152" s="61"/>
    </row>
    <row r="1153" ht="22.5" customHeight="1">
      <c r="B1153" s="62"/>
      <c r="C1153" s="62"/>
      <c r="E1153" s="61"/>
    </row>
    <row r="1154" ht="22.5" customHeight="1">
      <c r="B1154" s="62"/>
      <c r="C1154" s="62"/>
      <c r="E1154" s="61"/>
    </row>
    <row r="1155" ht="22.5" customHeight="1">
      <c r="B1155" s="62"/>
      <c r="C1155" s="62"/>
      <c r="E1155" s="61"/>
    </row>
    <row r="1156" ht="22.5" customHeight="1">
      <c r="B1156" s="62"/>
      <c r="C1156" s="62"/>
      <c r="E1156" s="61"/>
    </row>
    <row r="1157" ht="22.5" customHeight="1">
      <c r="B1157" s="62"/>
      <c r="C1157" s="62"/>
      <c r="E1157" s="61"/>
    </row>
    <row r="1158" ht="22.5" customHeight="1">
      <c r="B1158" s="62"/>
      <c r="C1158" s="62"/>
      <c r="E1158" s="61"/>
    </row>
    <row r="1159" ht="22.5" customHeight="1">
      <c r="B1159" s="62"/>
      <c r="C1159" s="62"/>
      <c r="E1159" s="61"/>
    </row>
    <row r="1160" ht="22.5" customHeight="1">
      <c r="B1160" s="62"/>
      <c r="C1160" s="62"/>
      <c r="E1160" s="61"/>
    </row>
    <row r="1161" ht="22.5" customHeight="1">
      <c r="B1161" s="62"/>
      <c r="C1161" s="62"/>
      <c r="E1161" s="61"/>
    </row>
    <row r="1162" ht="22.5" customHeight="1">
      <c r="B1162" s="62"/>
      <c r="C1162" s="62"/>
      <c r="E1162" s="61"/>
    </row>
    <row r="1163" ht="22.5" customHeight="1">
      <c r="B1163" s="62"/>
      <c r="C1163" s="62"/>
      <c r="E1163" s="61"/>
    </row>
    <row r="1164" ht="22.5" customHeight="1">
      <c r="B1164" s="62"/>
      <c r="C1164" s="62"/>
      <c r="E1164" s="61"/>
    </row>
    <row r="1165" ht="22.5" customHeight="1">
      <c r="B1165" s="62"/>
      <c r="C1165" s="62"/>
      <c r="E1165" s="61"/>
    </row>
    <row r="1166" ht="22.5" customHeight="1">
      <c r="B1166" s="62"/>
      <c r="C1166" s="62"/>
      <c r="E1166" s="61"/>
    </row>
    <row r="1167" ht="22.5" customHeight="1">
      <c r="B1167" s="62"/>
      <c r="C1167" s="62"/>
      <c r="E1167" s="61"/>
    </row>
    <row r="1168" ht="22.5" customHeight="1">
      <c r="B1168" s="62"/>
      <c r="C1168" s="62"/>
      <c r="E1168" s="61"/>
    </row>
    <row r="1169" ht="22.5" customHeight="1">
      <c r="B1169" s="62"/>
      <c r="C1169" s="62"/>
      <c r="E1169" s="61"/>
    </row>
    <row r="1170" ht="22.5" customHeight="1">
      <c r="B1170" s="62"/>
      <c r="C1170" s="62"/>
      <c r="E1170" s="61"/>
    </row>
    <row r="1171" ht="22.5" customHeight="1">
      <c r="B1171" s="62"/>
      <c r="C1171" s="62"/>
      <c r="E1171" s="61"/>
    </row>
    <row r="1172" ht="22.5" customHeight="1">
      <c r="B1172" s="62"/>
      <c r="C1172" s="62"/>
      <c r="E1172" s="61"/>
    </row>
    <row r="1173" ht="22.5" customHeight="1">
      <c r="B1173" s="62"/>
      <c r="C1173" s="62"/>
      <c r="E1173" s="61"/>
    </row>
    <row r="1174" ht="22.5" customHeight="1">
      <c r="B1174" s="62"/>
      <c r="C1174" s="62"/>
      <c r="E1174" s="61"/>
    </row>
    <row r="1175" ht="22.5" customHeight="1">
      <c r="B1175" s="62"/>
      <c r="C1175" s="62"/>
      <c r="E1175" s="61"/>
    </row>
    <row r="1176" ht="22.5" customHeight="1">
      <c r="B1176" s="62"/>
      <c r="C1176" s="62"/>
      <c r="E1176" s="61"/>
    </row>
    <row r="1177" ht="22.5" customHeight="1">
      <c r="B1177" s="62"/>
      <c r="C1177" s="62"/>
      <c r="E1177" s="61"/>
    </row>
    <row r="1178" ht="22.5" customHeight="1">
      <c r="B1178" s="62"/>
      <c r="C1178" s="62"/>
      <c r="E1178" s="61"/>
    </row>
    <row r="1179" ht="22.5" customHeight="1">
      <c r="B1179" s="62"/>
      <c r="C1179" s="62"/>
      <c r="E1179" s="61"/>
    </row>
    <row r="1180" ht="22.5" customHeight="1">
      <c r="B1180" s="62"/>
      <c r="C1180" s="62"/>
      <c r="E1180" s="61"/>
    </row>
    <row r="1181" ht="22.5" customHeight="1">
      <c r="B1181" s="62"/>
      <c r="C1181" s="62"/>
      <c r="E1181" s="61"/>
    </row>
    <row r="1182" ht="22.5" customHeight="1">
      <c r="B1182" s="62"/>
      <c r="C1182" s="62"/>
      <c r="E1182" s="61"/>
    </row>
    <row r="1183" ht="22.5" customHeight="1">
      <c r="B1183" s="62"/>
      <c r="C1183" s="62"/>
      <c r="E1183" s="61"/>
    </row>
    <row r="1184" ht="22.5" customHeight="1">
      <c r="B1184" s="62"/>
      <c r="C1184" s="62"/>
      <c r="E1184" s="61"/>
    </row>
    <row r="1185" ht="22.5" customHeight="1">
      <c r="B1185" s="62"/>
      <c r="C1185" s="62"/>
      <c r="E1185" s="61"/>
    </row>
    <row r="1186" ht="22.5" customHeight="1">
      <c r="B1186" s="62"/>
      <c r="C1186" s="62"/>
      <c r="E1186" s="61"/>
    </row>
    <row r="1187" ht="22.5" customHeight="1">
      <c r="B1187" s="62"/>
      <c r="C1187" s="62"/>
      <c r="E1187" s="61"/>
    </row>
    <row r="1188" ht="22.5" customHeight="1">
      <c r="B1188" s="62"/>
      <c r="C1188" s="62"/>
      <c r="E1188" s="61"/>
    </row>
    <row r="1189" ht="22.5" customHeight="1">
      <c r="B1189" s="62"/>
      <c r="C1189" s="62"/>
      <c r="E1189" s="61"/>
    </row>
    <row r="1190" ht="22.5" customHeight="1">
      <c r="B1190" s="62"/>
      <c r="C1190" s="62"/>
      <c r="E1190" s="61"/>
    </row>
    <row r="1191" ht="22.5" customHeight="1">
      <c r="B1191" s="62"/>
      <c r="C1191" s="62"/>
      <c r="E1191" s="61"/>
    </row>
    <row r="1192" ht="22.5" customHeight="1">
      <c r="B1192" s="62"/>
      <c r="C1192" s="62"/>
      <c r="E1192" s="61"/>
    </row>
    <row r="1193" ht="22.5" customHeight="1">
      <c r="B1193" s="62"/>
      <c r="C1193" s="62"/>
      <c r="E1193" s="61"/>
    </row>
    <row r="1194" ht="22.5" customHeight="1">
      <c r="B1194" s="62"/>
      <c r="C1194" s="62"/>
      <c r="E1194" s="61"/>
    </row>
    <row r="1195" ht="22.5" customHeight="1">
      <c r="B1195" s="62"/>
      <c r="C1195" s="62"/>
      <c r="E1195" s="61"/>
    </row>
    <row r="1196" ht="22.5" customHeight="1">
      <c r="B1196" s="62"/>
      <c r="C1196" s="62"/>
      <c r="E1196" s="61"/>
    </row>
    <row r="1197" ht="22.5" customHeight="1">
      <c r="B1197" s="62"/>
      <c r="C1197" s="62"/>
      <c r="E1197" s="61"/>
    </row>
    <row r="1198" ht="22.5" customHeight="1">
      <c r="B1198" s="62"/>
      <c r="C1198" s="62"/>
      <c r="E1198" s="61"/>
    </row>
    <row r="1199" ht="22.5" customHeight="1">
      <c r="B1199" s="62"/>
      <c r="C1199" s="62"/>
      <c r="E1199" s="61"/>
    </row>
    <row r="1200" ht="22.5" customHeight="1">
      <c r="B1200" s="62"/>
      <c r="C1200" s="62"/>
      <c r="E1200" s="61"/>
    </row>
    <row r="1201" ht="22.5" customHeight="1">
      <c r="B1201" s="62"/>
      <c r="C1201" s="62"/>
      <c r="E1201" s="61"/>
    </row>
    <row r="1202" ht="22.5" customHeight="1">
      <c r="B1202" s="62"/>
      <c r="C1202" s="62"/>
      <c r="E1202" s="61"/>
    </row>
    <row r="1203" ht="22.5" customHeight="1">
      <c r="B1203" s="62"/>
      <c r="C1203" s="62"/>
      <c r="E1203" s="61"/>
    </row>
    <row r="1204" ht="22.5" customHeight="1">
      <c r="B1204" s="62"/>
      <c r="C1204" s="62"/>
      <c r="E1204" s="61"/>
    </row>
    <row r="1205" ht="22.5" customHeight="1">
      <c r="B1205" s="62"/>
      <c r="C1205" s="62"/>
      <c r="E1205" s="61"/>
    </row>
    <row r="1206" ht="22.5" customHeight="1">
      <c r="B1206" s="62"/>
      <c r="C1206" s="62"/>
      <c r="E1206" s="61"/>
    </row>
    <row r="1207" ht="22.5" customHeight="1">
      <c r="B1207" s="62"/>
      <c r="C1207" s="62"/>
      <c r="E1207" s="61"/>
    </row>
    <row r="1208" ht="22.5" customHeight="1">
      <c r="B1208" s="62"/>
      <c r="C1208" s="62"/>
      <c r="E1208" s="61"/>
    </row>
    <row r="1209" ht="22.5" customHeight="1">
      <c r="B1209" s="62"/>
      <c r="C1209" s="62"/>
      <c r="E1209" s="61"/>
    </row>
    <row r="1210" ht="22.5" customHeight="1">
      <c r="B1210" s="62"/>
      <c r="C1210" s="62"/>
      <c r="E1210" s="61"/>
    </row>
    <row r="1211" ht="22.5" customHeight="1">
      <c r="B1211" s="62"/>
      <c r="C1211" s="62"/>
      <c r="E1211" s="61"/>
    </row>
    <row r="1212" ht="22.5" customHeight="1">
      <c r="B1212" s="62"/>
      <c r="C1212" s="62"/>
      <c r="E1212" s="61"/>
    </row>
    <row r="1213" ht="22.5" customHeight="1">
      <c r="B1213" s="62"/>
      <c r="C1213" s="62"/>
      <c r="E1213" s="61"/>
    </row>
    <row r="1214" ht="22.5" customHeight="1">
      <c r="B1214" s="62"/>
      <c r="C1214" s="62"/>
      <c r="E1214" s="61"/>
    </row>
    <row r="1215" ht="22.5" customHeight="1">
      <c r="B1215" s="62"/>
      <c r="C1215" s="62"/>
      <c r="E1215" s="61"/>
    </row>
    <row r="1216" ht="22.5" customHeight="1">
      <c r="B1216" s="62"/>
      <c r="C1216" s="62"/>
      <c r="E1216" s="61"/>
    </row>
    <row r="1217" ht="22.5" customHeight="1">
      <c r="B1217" s="62"/>
      <c r="C1217" s="62"/>
      <c r="E1217" s="61"/>
    </row>
    <row r="1218" ht="22.5" customHeight="1">
      <c r="B1218" s="62"/>
      <c r="C1218" s="62"/>
      <c r="E1218" s="61"/>
    </row>
    <row r="1219" ht="22.5" customHeight="1">
      <c r="B1219" s="62"/>
      <c r="C1219" s="62"/>
      <c r="E1219" s="61"/>
    </row>
    <row r="1220" ht="22.5" customHeight="1">
      <c r="B1220" s="62"/>
      <c r="C1220" s="62"/>
      <c r="E1220" s="61"/>
    </row>
    <row r="1221" ht="22.5" customHeight="1">
      <c r="B1221" s="62"/>
      <c r="C1221" s="62"/>
      <c r="E1221" s="61"/>
    </row>
    <row r="1222" ht="22.5" customHeight="1">
      <c r="B1222" s="62"/>
      <c r="C1222" s="62"/>
      <c r="E1222" s="61"/>
    </row>
    <row r="1223" ht="22.5" customHeight="1">
      <c r="B1223" s="62"/>
      <c r="C1223" s="62"/>
      <c r="E1223" s="61"/>
    </row>
    <row r="1224" ht="22.5" customHeight="1">
      <c r="B1224" s="62"/>
      <c r="C1224" s="62"/>
      <c r="E1224" s="61"/>
    </row>
    <row r="1225" ht="22.5" customHeight="1">
      <c r="B1225" s="62"/>
      <c r="C1225" s="62"/>
      <c r="E1225" s="61"/>
    </row>
    <row r="1226" ht="22.5" customHeight="1">
      <c r="B1226" s="62"/>
      <c r="C1226" s="62"/>
      <c r="E1226" s="61"/>
    </row>
    <row r="1227" ht="22.5" customHeight="1">
      <c r="B1227" s="62"/>
      <c r="C1227" s="62"/>
      <c r="E1227" s="61"/>
    </row>
    <row r="1228" ht="22.5" customHeight="1">
      <c r="B1228" s="62"/>
      <c r="C1228" s="62"/>
      <c r="E1228" s="61"/>
    </row>
    <row r="1229" ht="22.5" customHeight="1">
      <c r="B1229" s="62"/>
      <c r="C1229" s="62"/>
      <c r="E1229" s="61"/>
    </row>
    <row r="1230" ht="22.5" customHeight="1">
      <c r="B1230" s="62"/>
      <c r="C1230" s="62"/>
      <c r="E1230" s="61"/>
    </row>
    <row r="1231" ht="22.5" customHeight="1">
      <c r="B1231" s="62"/>
      <c r="C1231" s="62"/>
      <c r="E1231" s="61"/>
    </row>
    <row r="1232" ht="22.5" customHeight="1">
      <c r="B1232" s="62"/>
      <c r="C1232" s="62"/>
      <c r="E1232" s="61"/>
    </row>
    <row r="1233" ht="22.5" customHeight="1">
      <c r="B1233" s="62"/>
      <c r="C1233" s="62"/>
      <c r="E1233" s="61"/>
    </row>
    <row r="1234" ht="22.5" customHeight="1">
      <c r="B1234" s="62"/>
      <c r="C1234" s="62"/>
      <c r="E1234" s="61"/>
    </row>
    <row r="1235" ht="22.5" customHeight="1">
      <c r="B1235" s="62"/>
      <c r="C1235" s="62"/>
      <c r="E1235" s="61"/>
    </row>
    <row r="1236" ht="22.5" customHeight="1">
      <c r="B1236" s="62"/>
      <c r="C1236" s="62"/>
      <c r="E1236" s="61"/>
    </row>
    <row r="1237" ht="22.5" customHeight="1">
      <c r="B1237" s="62"/>
      <c r="C1237" s="62"/>
      <c r="E1237" s="61"/>
    </row>
    <row r="1238" ht="22.5" customHeight="1">
      <c r="B1238" s="62"/>
      <c r="C1238" s="62"/>
      <c r="E1238" s="61"/>
    </row>
    <row r="1239" ht="22.5" customHeight="1">
      <c r="B1239" s="62"/>
      <c r="C1239" s="62"/>
      <c r="E1239" s="61"/>
    </row>
    <row r="1240" ht="22.5" customHeight="1">
      <c r="B1240" s="62"/>
      <c r="C1240" s="62"/>
      <c r="E1240" s="61"/>
    </row>
    <row r="1241" ht="22.5" customHeight="1">
      <c r="B1241" s="62"/>
      <c r="C1241" s="62"/>
      <c r="E1241" s="61"/>
    </row>
    <row r="1242" ht="22.5" customHeight="1">
      <c r="B1242" s="62"/>
      <c r="C1242" s="62"/>
      <c r="E1242" s="61"/>
    </row>
    <row r="1243" ht="22.5" customHeight="1">
      <c r="B1243" s="62"/>
      <c r="C1243" s="62"/>
      <c r="E1243" s="61"/>
    </row>
    <row r="1244" ht="22.5" customHeight="1">
      <c r="B1244" s="62"/>
      <c r="C1244" s="62"/>
      <c r="E1244" s="61"/>
    </row>
    <row r="1245" ht="22.5" customHeight="1">
      <c r="B1245" s="62"/>
      <c r="C1245" s="62"/>
      <c r="E1245" s="61"/>
    </row>
    <row r="1246" ht="22.5" customHeight="1">
      <c r="B1246" s="62"/>
      <c r="C1246" s="62"/>
      <c r="E1246" s="61"/>
    </row>
    <row r="1247" ht="22.5" customHeight="1">
      <c r="B1247" s="62"/>
      <c r="C1247" s="62"/>
      <c r="E1247" s="61"/>
    </row>
    <row r="1248" ht="22.5" customHeight="1">
      <c r="B1248" s="62"/>
      <c r="C1248" s="62"/>
      <c r="E1248" s="61"/>
    </row>
    <row r="1249" ht="22.5" customHeight="1">
      <c r="B1249" s="62"/>
      <c r="C1249" s="62"/>
      <c r="E1249" s="61"/>
    </row>
    <row r="1250" ht="22.5" customHeight="1">
      <c r="B1250" s="62"/>
      <c r="C1250" s="62"/>
      <c r="E1250" s="61"/>
    </row>
    <row r="1251" ht="22.5" customHeight="1">
      <c r="B1251" s="62"/>
      <c r="C1251" s="62"/>
      <c r="E1251" s="61"/>
    </row>
    <row r="1252" ht="22.5" customHeight="1">
      <c r="B1252" s="62"/>
      <c r="C1252" s="62"/>
      <c r="E1252" s="61"/>
    </row>
    <row r="1253" ht="22.5" customHeight="1">
      <c r="B1253" s="62"/>
      <c r="C1253" s="62"/>
      <c r="E1253" s="61"/>
    </row>
    <row r="1254" ht="22.5" customHeight="1">
      <c r="B1254" s="62"/>
      <c r="C1254" s="62"/>
      <c r="E1254" s="61"/>
    </row>
    <row r="1255" ht="22.5" customHeight="1">
      <c r="B1255" s="62"/>
      <c r="C1255" s="62"/>
      <c r="E1255" s="61"/>
    </row>
    <row r="1256" ht="22.5" customHeight="1">
      <c r="B1256" s="62"/>
      <c r="C1256" s="62"/>
      <c r="E1256" s="61"/>
    </row>
    <row r="1257" ht="22.5" customHeight="1">
      <c r="B1257" s="62"/>
      <c r="C1257" s="62"/>
      <c r="E1257" s="61"/>
    </row>
    <row r="1258" ht="22.5" customHeight="1">
      <c r="B1258" s="62"/>
      <c r="C1258" s="62"/>
      <c r="E1258" s="61"/>
    </row>
    <row r="1259" ht="22.5" customHeight="1">
      <c r="B1259" s="62"/>
      <c r="C1259" s="62"/>
      <c r="E1259" s="61"/>
    </row>
    <row r="1260" ht="22.5" customHeight="1">
      <c r="B1260" s="62"/>
      <c r="C1260" s="62"/>
      <c r="E1260" s="61"/>
    </row>
    <row r="1261" ht="22.5" customHeight="1">
      <c r="B1261" s="62"/>
      <c r="C1261" s="62"/>
      <c r="E1261" s="61"/>
    </row>
    <row r="1262" ht="22.5" customHeight="1">
      <c r="B1262" s="62"/>
      <c r="C1262" s="62"/>
      <c r="E1262" s="61"/>
    </row>
    <row r="1263" ht="22.5" customHeight="1">
      <c r="B1263" s="62"/>
      <c r="C1263" s="62"/>
      <c r="E1263" s="61"/>
    </row>
    <row r="1264" ht="22.5" customHeight="1">
      <c r="B1264" s="62"/>
      <c r="C1264" s="62"/>
      <c r="E1264" s="61"/>
    </row>
    <row r="1265" ht="22.5" customHeight="1">
      <c r="B1265" s="62"/>
      <c r="C1265" s="62"/>
      <c r="E1265" s="61"/>
    </row>
    <row r="1266" ht="22.5" customHeight="1">
      <c r="B1266" s="62"/>
      <c r="C1266" s="62"/>
      <c r="E1266" s="61"/>
    </row>
    <row r="1267" ht="22.5" customHeight="1">
      <c r="B1267" s="62"/>
      <c r="C1267" s="62"/>
      <c r="E1267" s="61"/>
    </row>
    <row r="1268" ht="22.5" customHeight="1">
      <c r="B1268" s="62"/>
      <c r="C1268" s="62"/>
      <c r="E1268" s="61"/>
    </row>
    <row r="1269" ht="22.5" customHeight="1">
      <c r="B1269" s="62"/>
      <c r="C1269" s="62"/>
      <c r="E1269" s="61"/>
    </row>
    <row r="1270" ht="22.5" customHeight="1">
      <c r="B1270" s="62"/>
      <c r="C1270" s="62"/>
      <c r="E1270" s="61"/>
    </row>
    <row r="1271" ht="22.5" customHeight="1">
      <c r="B1271" s="62"/>
      <c r="C1271" s="62"/>
      <c r="E1271" s="61"/>
    </row>
    <row r="1272" ht="22.5" customHeight="1">
      <c r="B1272" s="62"/>
      <c r="C1272" s="62"/>
      <c r="E1272" s="61"/>
    </row>
    <row r="1273" ht="22.5" customHeight="1">
      <c r="B1273" s="62"/>
      <c r="C1273" s="62"/>
      <c r="E1273" s="61"/>
    </row>
    <row r="1274" ht="22.5" customHeight="1">
      <c r="B1274" s="62"/>
      <c r="C1274" s="62"/>
      <c r="E1274" s="61"/>
    </row>
    <row r="1275" ht="22.5" customHeight="1">
      <c r="B1275" s="62"/>
      <c r="C1275" s="62"/>
      <c r="E1275" s="61"/>
    </row>
    <row r="1276" ht="22.5" customHeight="1">
      <c r="B1276" s="62"/>
      <c r="C1276" s="62"/>
      <c r="E1276" s="61"/>
    </row>
    <row r="1277" ht="22.5" customHeight="1">
      <c r="B1277" s="62"/>
      <c r="C1277" s="62"/>
      <c r="E1277" s="61"/>
    </row>
    <row r="1278" ht="22.5" customHeight="1">
      <c r="B1278" s="62"/>
      <c r="C1278" s="62"/>
      <c r="E1278" s="61"/>
    </row>
    <row r="1279" ht="22.5" customHeight="1">
      <c r="B1279" s="62"/>
      <c r="C1279" s="62"/>
      <c r="E1279" s="61"/>
    </row>
    <row r="1280" ht="22.5" customHeight="1">
      <c r="B1280" s="62"/>
      <c r="C1280" s="62"/>
      <c r="E1280" s="61"/>
    </row>
    <row r="1281" ht="22.5" customHeight="1">
      <c r="B1281" s="62"/>
      <c r="C1281" s="62"/>
      <c r="E1281" s="61"/>
    </row>
    <row r="1282" ht="22.5" customHeight="1">
      <c r="B1282" s="62"/>
      <c r="C1282" s="62"/>
      <c r="E1282" s="61"/>
    </row>
    <row r="1283" ht="22.5" customHeight="1">
      <c r="B1283" s="62"/>
      <c r="C1283" s="62"/>
      <c r="E1283" s="61"/>
    </row>
    <row r="1284" ht="22.5" customHeight="1">
      <c r="B1284" s="62"/>
      <c r="C1284" s="62"/>
      <c r="E1284" s="61"/>
    </row>
    <row r="1285" ht="22.5" customHeight="1">
      <c r="B1285" s="62"/>
      <c r="C1285" s="62"/>
      <c r="E1285" s="61"/>
    </row>
    <row r="1286" ht="22.5" customHeight="1">
      <c r="B1286" s="62"/>
      <c r="C1286" s="62"/>
      <c r="E1286" s="61"/>
    </row>
    <row r="1287" ht="22.5" customHeight="1">
      <c r="B1287" s="62"/>
      <c r="C1287" s="62"/>
      <c r="E1287" s="61"/>
    </row>
    <row r="1288" ht="22.5" customHeight="1">
      <c r="B1288" s="62"/>
      <c r="C1288" s="62"/>
      <c r="E1288" s="61"/>
    </row>
    <row r="1289" ht="22.5" customHeight="1">
      <c r="B1289" s="62"/>
      <c r="C1289" s="62"/>
      <c r="E1289" s="61"/>
    </row>
    <row r="1290" ht="22.5" customHeight="1">
      <c r="B1290" s="62"/>
      <c r="C1290" s="62"/>
      <c r="E1290" s="61"/>
    </row>
    <row r="1291" ht="22.5" customHeight="1">
      <c r="B1291" s="62"/>
      <c r="C1291" s="62"/>
      <c r="E1291" s="61"/>
    </row>
    <row r="1292" ht="22.5" customHeight="1">
      <c r="B1292" s="62"/>
      <c r="C1292" s="62"/>
      <c r="E1292" s="61"/>
    </row>
    <row r="1293" ht="22.5" customHeight="1">
      <c r="B1293" s="62"/>
      <c r="C1293" s="62"/>
      <c r="E1293" s="61"/>
    </row>
    <row r="1294" ht="22.5" customHeight="1">
      <c r="B1294" s="62"/>
      <c r="C1294" s="62"/>
      <c r="E1294" s="61"/>
    </row>
    <row r="1295" ht="22.5" customHeight="1">
      <c r="B1295" s="62"/>
      <c r="C1295" s="62"/>
      <c r="E1295" s="61"/>
    </row>
    <row r="1296" ht="22.5" customHeight="1">
      <c r="B1296" s="62"/>
      <c r="C1296" s="62"/>
      <c r="E1296" s="61"/>
    </row>
    <row r="1297" ht="22.5" customHeight="1">
      <c r="B1297" s="62"/>
      <c r="C1297" s="62"/>
      <c r="E1297" s="61"/>
    </row>
    <row r="1298" ht="22.5" customHeight="1">
      <c r="B1298" s="62"/>
      <c r="C1298" s="62"/>
      <c r="E1298" s="61"/>
    </row>
    <row r="1299" ht="22.5" customHeight="1">
      <c r="B1299" s="62"/>
      <c r="C1299" s="62"/>
      <c r="E1299" s="61"/>
    </row>
    <row r="1300" ht="22.5" customHeight="1">
      <c r="B1300" s="62"/>
      <c r="C1300" s="62"/>
      <c r="E1300" s="61"/>
    </row>
    <row r="1301" ht="22.5" customHeight="1">
      <c r="B1301" s="62"/>
      <c r="C1301" s="62"/>
      <c r="E1301" s="61"/>
    </row>
    <row r="1302" ht="22.5" customHeight="1">
      <c r="B1302" s="62"/>
      <c r="C1302" s="62"/>
      <c r="E1302" s="61"/>
    </row>
    <row r="1303" ht="22.5" customHeight="1">
      <c r="B1303" s="62"/>
      <c r="C1303" s="62"/>
      <c r="E1303" s="61"/>
    </row>
    <row r="1304" ht="22.5" customHeight="1">
      <c r="B1304" s="62"/>
      <c r="C1304" s="62"/>
      <c r="E1304" s="61"/>
    </row>
    <row r="1305" ht="22.5" customHeight="1">
      <c r="B1305" s="62"/>
      <c r="C1305" s="62"/>
      <c r="E1305" s="61"/>
    </row>
    <row r="1306" ht="22.5" customHeight="1">
      <c r="B1306" s="62"/>
      <c r="C1306" s="62"/>
      <c r="E1306" s="61"/>
    </row>
    <row r="1307" ht="22.5" customHeight="1">
      <c r="B1307" s="62"/>
      <c r="C1307" s="62"/>
      <c r="E1307" s="61"/>
    </row>
    <row r="1308" ht="22.5" customHeight="1">
      <c r="B1308" s="62"/>
      <c r="C1308" s="62"/>
      <c r="E1308" s="61"/>
    </row>
    <row r="1309" ht="22.5" customHeight="1">
      <c r="B1309" s="62"/>
      <c r="C1309" s="62"/>
      <c r="E1309" s="61"/>
    </row>
    <row r="1310" ht="22.5" customHeight="1">
      <c r="B1310" s="62"/>
      <c r="C1310" s="62"/>
      <c r="E1310" s="61"/>
    </row>
    <row r="1311" ht="22.5" customHeight="1">
      <c r="B1311" s="62"/>
      <c r="C1311" s="62"/>
      <c r="E1311" s="61"/>
    </row>
    <row r="1312" ht="22.5" customHeight="1">
      <c r="B1312" s="62"/>
      <c r="C1312" s="62"/>
      <c r="E1312" s="61"/>
    </row>
    <row r="1313" ht="22.5" customHeight="1">
      <c r="B1313" s="62"/>
      <c r="C1313" s="62"/>
      <c r="E1313" s="61"/>
    </row>
    <row r="1314" ht="22.5" customHeight="1">
      <c r="B1314" s="62"/>
      <c r="C1314" s="62"/>
      <c r="E1314" s="61"/>
    </row>
    <row r="1315" ht="22.5" customHeight="1">
      <c r="B1315" s="62"/>
      <c r="C1315" s="62"/>
      <c r="E1315" s="61"/>
    </row>
    <row r="1316" ht="22.5" customHeight="1">
      <c r="B1316" s="62"/>
      <c r="C1316" s="62"/>
      <c r="E1316" s="61"/>
    </row>
    <row r="1317" ht="22.5" customHeight="1">
      <c r="B1317" s="62"/>
      <c r="C1317" s="62"/>
      <c r="E1317" s="61"/>
    </row>
    <row r="1318" ht="22.5" customHeight="1">
      <c r="B1318" s="62"/>
      <c r="C1318" s="62"/>
      <c r="E1318" s="61"/>
    </row>
    <row r="1319" ht="22.5" customHeight="1">
      <c r="B1319" s="62"/>
      <c r="C1319" s="62"/>
      <c r="E1319" s="61"/>
    </row>
    <row r="1320" ht="22.5" customHeight="1">
      <c r="B1320" s="62"/>
      <c r="C1320" s="62"/>
      <c r="E1320" s="61"/>
    </row>
    <row r="1321" ht="22.5" customHeight="1">
      <c r="B1321" s="62"/>
      <c r="C1321" s="62"/>
      <c r="E1321" s="61"/>
    </row>
    <row r="1322" ht="22.5" customHeight="1">
      <c r="B1322" s="62"/>
      <c r="C1322" s="62"/>
      <c r="E1322" s="61"/>
    </row>
    <row r="1323" ht="22.5" customHeight="1">
      <c r="B1323" s="62"/>
      <c r="C1323" s="62"/>
      <c r="E1323" s="61"/>
    </row>
    <row r="1324" ht="22.5" customHeight="1">
      <c r="B1324" s="62"/>
      <c r="C1324" s="62"/>
      <c r="E1324" s="61"/>
    </row>
    <row r="1325" ht="22.5" customHeight="1">
      <c r="B1325" s="62"/>
      <c r="C1325" s="62"/>
      <c r="E1325" s="61"/>
    </row>
    <row r="1326" ht="22.5" customHeight="1">
      <c r="B1326" s="62"/>
      <c r="C1326" s="62"/>
      <c r="E1326" s="61"/>
    </row>
    <row r="1327" ht="22.5" customHeight="1">
      <c r="B1327" s="62"/>
      <c r="C1327" s="62"/>
      <c r="E1327" s="61"/>
    </row>
    <row r="1328" ht="22.5" customHeight="1">
      <c r="B1328" s="62"/>
      <c r="C1328" s="62"/>
      <c r="E1328" s="61"/>
    </row>
    <row r="1329" ht="22.5" customHeight="1">
      <c r="B1329" s="62"/>
      <c r="C1329" s="62"/>
      <c r="E1329" s="61"/>
    </row>
    <row r="1330" ht="22.5" customHeight="1">
      <c r="B1330" s="62"/>
      <c r="C1330" s="62"/>
      <c r="E1330" s="61"/>
    </row>
    <row r="1331" ht="22.5" customHeight="1">
      <c r="B1331" s="62"/>
      <c r="C1331" s="62"/>
      <c r="E1331" s="61"/>
    </row>
    <row r="1332" ht="22.5" customHeight="1">
      <c r="B1332" s="62"/>
      <c r="C1332" s="62"/>
      <c r="E1332" s="61"/>
    </row>
    <row r="1333" ht="22.5" customHeight="1">
      <c r="B1333" s="62"/>
      <c r="C1333" s="62"/>
      <c r="E1333" s="61"/>
    </row>
    <row r="1334" ht="22.5" customHeight="1">
      <c r="B1334" s="62"/>
      <c r="C1334" s="62"/>
      <c r="E1334" s="61"/>
    </row>
    <row r="1335" ht="22.5" customHeight="1">
      <c r="B1335" s="62"/>
      <c r="C1335" s="62"/>
      <c r="E1335" s="61"/>
    </row>
    <row r="1336" ht="22.5" customHeight="1">
      <c r="B1336" s="62"/>
      <c r="C1336" s="62"/>
      <c r="E1336" s="61"/>
    </row>
    <row r="1337" ht="22.5" customHeight="1">
      <c r="B1337" s="62"/>
      <c r="C1337" s="62"/>
      <c r="E1337" s="61"/>
    </row>
    <row r="1338" ht="22.5" customHeight="1">
      <c r="B1338" s="62"/>
      <c r="C1338" s="62"/>
      <c r="E1338" s="61"/>
    </row>
    <row r="1339" ht="22.5" customHeight="1">
      <c r="B1339" s="62"/>
      <c r="C1339" s="62"/>
      <c r="E1339" s="61"/>
    </row>
    <row r="1340" ht="22.5" customHeight="1">
      <c r="B1340" s="62"/>
      <c r="C1340" s="62"/>
      <c r="E1340" s="61"/>
    </row>
    <row r="1341" ht="22.5" customHeight="1">
      <c r="B1341" s="62"/>
      <c r="C1341" s="62"/>
      <c r="E1341" s="61"/>
    </row>
    <row r="1342" ht="22.5" customHeight="1">
      <c r="B1342" s="62"/>
      <c r="C1342" s="62"/>
      <c r="E1342" s="61"/>
    </row>
    <row r="1343" ht="22.5" customHeight="1">
      <c r="B1343" s="62"/>
      <c r="C1343" s="62"/>
      <c r="E1343" s="61"/>
    </row>
    <row r="1344" ht="22.5" customHeight="1">
      <c r="B1344" s="62"/>
      <c r="C1344" s="62"/>
      <c r="E1344" s="61"/>
    </row>
    <row r="1345" ht="22.5" customHeight="1">
      <c r="B1345" s="62"/>
      <c r="C1345" s="62"/>
      <c r="E1345" s="61"/>
    </row>
    <row r="1346" ht="22.5" customHeight="1">
      <c r="B1346" s="62"/>
      <c r="C1346" s="62"/>
      <c r="E1346" s="61"/>
    </row>
    <row r="1347" ht="22.5" customHeight="1">
      <c r="B1347" s="62"/>
      <c r="C1347" s="62"/>
      <c r="E1347" s="61"/>
    </row>
    <row r="1348" ht="22.5" customHeight="1">
      <c r="B1348" s="62"/>
      <c r="C1348" s="62"/>
      <c r="E1348" s="61"/>
    </row>
    <row r="1349" ht="22.5" customHeight="1">
      <c r="B1349" s="62"/>
      <c r="C1349" s="62"/>
      <c r="E1349" s="61"/>
    </row>
    <row r="1350" ht="22.5" customHeight="1">
      <c r="B1350" s="62"/>
      <c r="C1350" s="62"/>
      <c r="E1350" s="61"/>
    </row>
    <row r="1351" ht="22.5" customHeight="1">
      <c r="B1351" s="62"/>
      <c r="C1351" s="62"/>
      <c r="E1351" s="61"/>
    </row>
    <row r="1352" ht="22.5" customHeight="1">
      <c r="B1352" s="62"/>
      <c r="C1352" s="62"/>
      <c r="E1352" s="61"/>
    </row>
    <row r="1353" ht="22.5" customHeight="1">
      <c r="B1353" s="62"/>
      <c r="C1353" s="62"/>
      <c r="E1353" s="61"/>
    </row>
    <row r="1354" ht="22.5" customHeight="1">
      <c r="B1354" s="62"/>
      <c r="C1354" s="62"/>
      <c r="E1354" s="61"/>
    </row>
    <row r="1355" ht="22.5" customHeight="1">
      <c r="B1355" s="62"/>
      <c r="C1355" s="62"/>
      <c r="E1355" s="61"/>
    </row>
    <row r="1356" ht="22.5" customHeight="1">
      <c r="B1356" s="62"/>
      <c r="C1356" s="62"/>
      <c r="E1356" s="61"/>
    </row>
    <row r="1357" ht="22.5" customHeight="1">
      <c r="B1357" s="62"/>
      <c r="C1357" s="62"/>
      <c r="E1357" s="61"/>
    </row>
    <row r="1358" ht="22.5" customHeight="1">
      <c r="B1358" s="62"/>
      <c r="C1358" s="62"/>
      <c r="E1358" s="61"/>
    </row>
    <row r="1359" ht="22.5" customHeight="1">
      <c r="B1359" s="62"/>
      <c r="C1359" s="62"/>
      <c r="E1359" s="61"/>
    </row>
    <row r="1360" ht="22.5" customHeight="1">
      <c r="B1360" s="62"/>
      <c r="C1360" s="62"/>
      <c r="E1360" s="61"/>
    </row>
    <row r="1361" ht="22.5" customHeight="1">
      <c r="B1361" s="62"/>
      <c r="C1361" s="62"/>
      <c r="E1361" s="61"/>
    </row>
    <row r="1362" ht="22.5" customHeight="1">
      <c r="B1362" s="62"/>
      <c r="C1362" s="62"/>
      <c r="E1362" s="61"/>
    </row>
    <row r="1363" ht="22.5" customHeight="1">
      <c r="B1363" s="62"/>
      <c r="C1363" s="62"/>
      <c r="E1363" s="61"/>
    </row>
    <row r="1364" ht="22.5" customHeight="1">
      <c r="B1364" s="62"/>
      <c r="C1364" s="62"/>
      <c r="E1364" s="61"/>
    </row>
    <row r="1365" ht="22.5" customHeight="1">
      <c r="B1365" s="62"/>
      <c r="C1365" s="62"/>
      <c r="E1365" s="61"/>
    </row>
    <row r="1366" ht="22.5" customHeight="1">
      <c r="B1366" s="62"/>
      <c r="C1366" s="62"/>
      <c r="E1366" s="61"/>
    </row>
    <row r="1367" ht="22.5" customHeight="1">
      <c r="B1367" s="62"/>
      <c r="C1367" s="62"/>
      <c r="E1367" s="61"/>
    </row>
    <row r="1368" ht="22.5" customHeight="1">
      <c r="B1368" s="62"/>
      <c r="C1368" s="62"/>
      <c r="E1368" s="61"/>
    </row>
    <row r="1369" ht="22.5" customHeight="1">
      <c r="B1369" s="62"/>
      <c r="C1369" s="62"/>
      <c r="E1369" s="61"/>
    </row>
    <row r="1370" ht="22.5" customHeight="1">
      <c r="B1370" s="62"/>
      <c r="C1370" s="62"/>
      <c r="E1370" s="61"/>
    </row>
    <row r="1371" ht="22.5" customHeight="1">
      <c r="B1371" s="62"/>
      <c r="C1371" s="62"/>
      <c r="E1371" s="61"/>
    </row>
    <row r="1372" ht="22.5" customHeight="1">
      <c r="B1372" s="62"/>
      <c r="C1372" s="62"/>
      <c r="E1372" s="61"/>
    </row>
    <row r="1373" ht="22.5" customHeight="1">
      <c r="B1373" s="62"/>
      <c r="C1373" s="62"/>
      <c r="E1373" s="61"/>
    </row>
    <row r="1374" ht="22.5" customHeight="1">
      <c r="B1374" s="62"/>
      <c r="C1374" s="62"/>
      <c r="E1374" s="61"/>
    </row>
    <row r="1375" ht="22.5" customHeight="1">
      <c r="B1375" s="62"/>
      <c r="C1375" s="62"/>
      <c r="E1375" s="61"/>
    </row>
    <row r="1376" ht="22.5" customHeight="1">
      <c r="B1376" s="62"/>
      <c r="C1376" s="62"/>
      <c r="E1376" s="61"/>
    </row>
    <row r="1377" ht="22.5" customHeight="1">
      <c r="B1377" s="62"/>
      <c r="C1377" s="62"/>
      <c r="E1377" s="61"/>
    </row>
    <row r="1378" ht="22.5" customHeight="1">
      <c r="B1378" s="62"/>
      <c r="C1378" s="62"/>
      <c r="E1378" s="61"/>
    </row>
    <row r="1379" ht="22.5" customHeight="1">
      <c r="B1379" s="62"/>
      <c r="C1379" s="62"/>
      <c r="E1379" s="61"/>
    </row>
    <row r="1380" ht="22.5" customHeight="1">
      <c r="B1380" s="62"/>
      <c r="C1380" s="62"/>
      <c r="E1380" s="61"/>
    </row>
    <row r="1381" ht="22.5" customHeight="1">
      <c r="B1381" s="62"/>
      <c r="C1381" s="62"/>
      <c r="E1381" s="61"/>
    </row>
    <row r="1382" ht="22.5" customHeight="1">
      <c r="B1382" s="62"/>
      <c r="C1382" s="62"/>
      <c r="E1382" s="61"/>
    </row>
    <row r="1383" ht="22.5" customHeight="1">
      <c r="B1383" s="62"/>
      <c r="C1383" s="62"/>
      <c r="E1383" s="61"/>
    </row>
    <row r="1384" ht="22.5" customHeight="1">
      <c r="B1384" s="62"/>
      <c r="C1384" s="62"/>
      <c r="E1384" s="61"/>
    </row>
    <row r="1385" ht="22.5" customHeight="1">
      <c r="B1385" s="62"/>
      <c r="C1385" s="62"/>
      <c r="E1385" s="61"/>
    </row>
    <row r="1386" ht="22.5" customHeight="1">
      <c r="B1386" s="62"/>
      <c r="C1386" s="62"/>
      <c r="E1386" s="61"/>
    </row>
    <row r="1387" ht="22.5" customHeight="1">
      <c r="B1387" s="62"/>
      <c r="C1387" s="62"/>
      <c r="E1387" s="61"/>
    </row>
    <row r="1388" ht="22.5" customHeight="1">
      <c r="B1388" s="62"/>
      <c r="C1388" s="62"/>
      <c r="E1388" s="61"/>
    </row>
    <row r="1389" ht="22.5" customHeight="1">
      <c r="B1389" s="62"/>
      <c r="C1389" s="62"/>
      <c r="E1389" s="61"/>
    </row>
    <row r="1390" ht="22.5" customHeight="1">
      <c r="B1390" s="62"/>
      <c r="C1390" s="62"/>
      <c r="E1390" s="61"/>
    </row>
    <row r="1391" ht="22.5" customHeight="1">
      <c r="B1391" s="62"/>
      <c r="C1391" s="62"/>
      <c r="E1391" s="61"/>
    </row>
    <row r="1392" ht="22.5" customHeight="1">
      <c r="B1392" s="62"/>
      <c r="C1392" s="62"/>
      <c r="E1392" s="61"/>
    </row>
    <row r="1393" ht="22.5" customHeight="1">
      <c r="B1393" s="62"/>
      <c r="C1393" s="62"/>
      <c r="E1393" s="61"/>
    </row>
    <row r="1394" ht="22.5" customHeight="1">
      <c r="B1394" s="62"/>
      <c r="C1394" s="62"/>
      <c r="E1394" s="61"/>
    </row>
    <row r="1395" ht="22.5" customHeight="1">
      <c r="B1395" s="62"/>
      <c r="C1395" s="62"/>
      <c r="E1395" s="61"/>
    </row>
    <row r="1396" ht="22.5" customHeight="1">
      <c r="B1396" s="62"/>
      <c r="C1396" s="62"/>
      <c r="E1396" s="61"/>
    </row>
    <row r="1397" ht="22.5" customHeight="1">
      <c r="B1397" s="62"/>
      <c r="C1397" s="62"/>
      <c r="E1397" s="61"/>
    </row>
    <row r="1398" ht="22.5" customHeight="1">
      <c r="B1398" s="62"/>
      <c r="C1398" s="62"/>
      <c r="E1398" s="61"/>
    </row>
    <row r="1399" ht="22.5" customHeight="1">
      <c r="B1399" s="62"/>
      <c r="C1399" s="62"/>
      <c r="E1399" s="61"/>
    </row>
    <row r="1400" ht="22.5" customHeight="1">
      <c r="B1400" s="62"/>
      <c r="C1400" s="62"/>
      <c r="E1400" s="61"/>
    </row>
    <row r="1401" ht="22.5" customHeight="1">
      <c r="B1401" s="62"/>
      <c r="C1401" s="62"/>
      <c r="E1401" s="61"/>
    </row>
    <row r="1402" ht="22.5" customHeight="1">
      <c r="B1402" s="62"/>
      <c r="C1402" s="62"/>
      <c r="E1402" s="61"/>
    </row>
    <row r="1403" ht="22.5" customHeight="1">
      <c r="B1403" s="62"/>
      <c r="C1403" s="62"/>
      <c r="E1403" s="61"/>
    </row>
    <row r="1404" ht="22.5" customHeight="1">
      <c r="B1404" s="62"/>
      <c r="C1404" s="62"/>
      <c r="E1404" s="61"/>
    </row>
    <row r="1405" ht="22.5" customHeight="1">
      <c r="B1405" s="62"/>
      <c r="C1405" s="62"/>
      <c r="E1405" s="61"/>
    </row>
    <row r="1406" ht="22.5" customHeight="1">
      <c r="B1406" s="62"/>
      <c r="C1406" s="62"/>
      <c r="E1406" s="61"/>
    </row>
    <row r="1407" ht="22.5" customHeight="1">
      <c r="B1407" s="62"/>
      <c r="C1407" s="62"/>
      <c r="E1407" s="61"/>
    </row>
    <row r="1408" ht="22.5" customHeight="1">
      <c r="B1408" s="62"/>
      <c r="C1408" s="62"/>
      <c r="E1408" s="61"/>
    </row>
    <row r="1409" ht="22.5" customHeight="1">
      <c r="B1409" s="62"/>
      <c r="C1409" s="62"/>
      <c r="E1409" s="61"/>
    </row>
    <row r="1410" ht="22.5" customHeight="1">
      <c r="B1410" s="62"/>
      <c r="C1410" s="62"/>
      <c r="E1410" s="61"/>
    </row>
    <row r="1411" ht="22.5" customHeight="1">
      <c r="B1411" s="62"/>
      <c r="C1411" s="62"/>
      <c r="E1411" s="61"/>
    </row>
    <row r="1412" ht="22.5" customHeight="1">
      <c r="B1412" s="62"/>
      <c r="C1412" s="62"/>
      <c r="E1412" s="61"/>
    </row>
    <row r="1413" ht="22.5" customHeight="1">
      <c r="B1413" s="62"/>
      <c r="C1413" s="62"/>
      <c r="E1413" s="61"/>
    </row>
    <row r="1414" ht="22.5" customHeight="1">
      <c r="B1414" s="62"/>
      <c r="C1414" s="62"/>
      <c r="E1414" s="61"/>
    </row>
    <row r="1415" ht="22.5" customHeight="1">
      <c r="B1415" s="62"/>
      <c r="C1415" s="62"/>
      <c r="E1415" s="61"/>
    </row>
    <row r="1416" ht="22.5" customHeight="1">
      <c r="B1416" s="62"/>
      <c r="C1416" s="62"/>
      <c r="E1416" s="61"/>
    </row>
    <row r="1417" ht="22.5" customHeight="1">
      <c r="B1417" s="62"/>
      <c r="C1417" s="62"/>
      <c r="E1417" s="61"/>
    </row>
    <row r="1418" ht="22.5" customHeight="1">
      <c r="B1418" s="62"/>
      <c r="C1418" s="62"/>
      <c r="E1418" s="61"/>
    </row>
    <row r="1419" ht="22.5" customHeight="1">
      <c r="B1419" s="62"/>
      <c r="C1419" s="62"/>
      <c r="E1419" s="61"/>
    </row>
    <row r="1420" ht="22.5" customHeight="1">
      <c r="B1420" s="62"/>
      <c r="C1420" s="62"/>
      <c r="E1420" s="61"/>
    </row>
    <row r="1421" ht="22.5" customHeight="1">
      <c r="B1421" s="62"/>
      <c r="C1421" s="62"/>
      <c r="E1421" s="61"/>
    </row>
    <row r="1422" ht="22.5" customHeight="1">
      <c r="B1422" s="62"/>
      <c r="C1422" s="62"/>
      <c r="E1422" s="61"/>
    </row>
    <row r="1423" ht="22.5" customHeight="1">
      <c r="B1423" s="62"/>
      <c r="C1423" s="62"/>
      <c r="E1423" s="61"/>
    </row>
    <row r="1424" ht="22.5" customHeight="1">
      <c r="B1424" s="62"/>
      <c r="C1424" s="62"/>
      <c r="E1424" s="61"/>
    </row>
    <row r="1425" ht="22.5" customHeight="1">
      <c r="B1425" s="62"/>
      <c r="C1425" s="62"/>
      <c r="E1425" s="61"/>
    </row>
    <row r="1426" ht="22.5" customHeight="1">
      <c r="B1426" s="62"/>
      <c r="C1426" s="62"/>
      <c r="E1426" s="61"/>
    </row>
    <row r="1427" ht="22.5" customHeight="1">
      <c r="B1427" s="62"/>
      <c r="C1427" s="62"/>
      <c r="E1427" s="61"/>
    </row>
    <row r="1428" ht="22.5" customHeight="1">
      <c r="B1428" s="62"/>
      <c r="C1428" s="62"/>
      <c r="E1428" s="61"/>
    </row>
    <row r="1429" ht="22.5" customHeight="1">
      <c r="B1429" s="62"/>
      <c r="C1429" s="62"/>
      <c r="E1429" s="61"/>
    </row>
    <row r="1430" ht="22.5" customHeight="1">
      <c r="B1430" s="62"/>
      <c r="C1430" s="62"/>
      <c r="E1430" s="61"/>
    </row>
    <row r="1431" ht="22.5" customHeight="1">
      <c r="B1431" s="62"/>
      <c r="C1431" s="62"/>
      <c r="E1431" s="61"/>
    </row>
    <row r="1432" ht="22.5" customHeight="1">
      <c r="B1432" s="62"/>
      <c r="C1432" s="62"/>
      <c r="E1432" s="61"/>
    </row>
    <row r="1433" ht="22.5" customHeight="1">
      <c r="B1433" s="62"/>
      <c r="C1433" s="62"/>
      <c r="E1433" s="61"/>
    </row>
    <row r="1434" ht="22.5" customHeight="1">
      <c r="B1434" s="62"/>
      <c r="C1434" s="62"/>
      <c r="E1434" s="61"/>
    </row>
    <row r="1435" ht="22.5" customHeight="1">
      <c r="B1435" s="62"/>
      <c r="C1435" s="62"/>
      <c r="E1435" s="61"/>
    </row>
    <row r="1436" ht="22.5" customHeight="1">
      <c r="B1436" s="62"/>
      <c r="C1436" s="62"/>
      <c r="E1436" s="61"/>
    </row>
    <row r="1437" ht="22.5" customHeight="1">
      <c r="B1437" s="62"/>
      <c r="C1437" s="62"/>
      <c r="E1437" s="61"/>
    </row>
    <row r="1438" ht="22.5" customHeight="1">
      <c r="B1438" s="62"/>
      <c r="C1438" s="62"/>
      <c r="E1438" s="61"/>
    </row>
    <row r="1439" ht="22.5" customHeight="1">
      <c r="B1439" s="62"/>
      <c r="C1439" s="62"/>
      <c r="E1439" s="61"/>
    </row>
    <row r="1440" ht="22.5" customHeight="1">
      <c r="B1440" s="62"/>
      <c r="C1440" s="62"/>
      <c r="E1440" s="61"/>
    </row>
    <row r="1441" ht="22.5" customHeight="1">
      <c r="B1441" s="62"/>
      <c r="C1441" s="62"/>
      <c r="E1441" s="61"/>
    </row>
    <row r="1442" ht="22.5" customHeight="1">
      <c r="B1442" s="62"/>
      <c r="C1442" s="62"/>
      <c r="E1442" s="61"/>
    </row>
    <row r="1443" ht="22.5" customHeight="1">
      <c r="B1443" s="62"/>
      <c r="C1443" s="62"/>
      <c r="E1443" s="61"/>
    </row>
    <row r="1444" ht="22.5" customHeight="1">
      <c r="B1444" s="62"/>
      <c r="C1444" s="62"/>
      <c r="E1444" s="61"/>
    </row>
    <row r="1445" ht="22.5" customHeight="1">
      <c r="B1445" s="62"/>
      <c r="C1445" s="62"/>
      <c r="E1445" s="61"/>
    </row>
    <row r="1446" ht="22.5" customHeight="1">
      <c r="B1446" s="62"/>
      <c r="C1446" s="62"/>
      <c r="E1446" s="61"/>
    </row>
    <row r="1447" ht="22.5" customHeight="1">
      <c r="B1447" s="62"/>
      <c r="C1447" s="62"/>
      <c r="E1447" s="61"/>
    </row>
    <row r="1448" ht="22.5" customHeight="1">
      <c r="B1448" s="62"/>
      <c r="C1448" s="62"/>
      <c r="E1448" s="61"/>
    </row>
    <row r="1449" ht="22.5" customHeight="1">
      <c r="B1449" s="62"/>
      <c r="C1449" s="62"/>
      <c r="E1449" s="61"/>
    </row>
    <row r="1450" ht="22.5" customHeight="1">
      <c r="B1450" s="62"/>
      <c r="C1450" s="62"/>
      <c r="E1450" s="61"/>
    </row>
    <row r="1451" ht="22.5" customHeight="1">
      <c r="B1451" s="62"/>
      <c r="C1451" s="62"/>
      <c r="E1451" s="61"/>
    </row>
    <row r="1452" ht="22.5" customHeight="1">
      <c r="B1452" s="62"/>
      <c r="C1452" s="62"/>
      <c r="E1452" s="61"/>
    </row>
    <row r="1453" ht="22.5" customHeight="1">
      <c r="B1453" s="62"/>
      <c r="C1453" s="62"/>
      <c r="E1453" s="61"/>
    </row>
    <row r="1454" ht="22.5" customHeight="1">
      <c r="B1454" s="62"/>
      <c r="C1454" s="62"/>
      <c r="E1454" s="61"/>
    </row>
    <row r="1455" ht="22.5" customHeight="1">
      <c r="B1455" s="62"/>
      <c r="C1455" s="62"/>
      <c r="E1455" s="61"/>
    </row>
    <row r="1456" ht="22.5" customHeight="1">
      <c r="B1456" s="62"/>
      <c r="C1456" s="62"/>
      <c r="E1456" s="61"/>
    </row>
    <row r="1457" ht="22.5" customHeight="1">
      <c r="B1457" s="62"/>
      <c r="C1457" s="62"/>
      <c r="E1457" s="61"/>
    </row>
    <row r="1458" ht="22.5" customHeight="1">
      <c r="B1458" s="62"/>
      <c r="C1458" s="62"/>
      <c r="E1458" s="61"/>
    </row>
    <row r="1459" ht="22.5" customHeight="1">
      <c r="B1459" s="62"/>
      <c r="C1459" s="62"/>
      <c r="E1459" s="61"/>
    </row>
    <row r="1460" ht="22.5" customHeight="1">
      <c r="B1460" s="62"/>
      <c r="C1460" s="62"/>
      <c r="E1460" s="61"/>
    </row>
    <row r="1461" ht="22.5" customHeight="1">
      <c r="B1461" s="62"/>
      <c r="C1461" s="62"/>
      <c r="E1461" s="61"/>
    </row>
    <row r="1462" ht="22.5" customHeight="1">
      <c r="B1462" s="62"/>
      <c r="C1462" s="62"/>
      <c r="E1462" s="61"/>
    </row>
    <row r="1463" ht="22.5" customHeight="1">
      <c r="B1463" s="62"/>
      <c r="C1463" s="62"/>
      <c r="E1463" s="61"/>
    </row>
    <row r="1464" ht="22.5" customHeight="1">
      <c r="B1464" s="62"/>
      <c r="C1464" s="62"/>
      <c r="E1464" s="61"/>
    </row>
    <row r="1465" ht="22.5" customHeight="1">
      <c r="B1465" s="62"/>
      <c r="C1465" s="62"/>
      <c r="E1465" s="61"/>
    </row>
    <row r="1466" ht="22.5" customHeight="1">
      <c r="B1466" s="62"/>
      <c r="C1466" s="62"/>
      <c r="E1466" s="61"/>
    </row>
    <row r="1467" ht="22.5" customHeight="1">
      <c r="B1467" s="62"/>
      <c r="C1467" s="62"/>
      <c r="E1467" s="61"/>
    </row>
    <row r="1468" ht="22.5" customHeight="1">
      <c r="B1468" s="62"/>
      <c r="C1468" s="62"/>
      <c r="E1468" s="61"/>
    </row>
    <row r="1469" ht="22.5" customHeight="1">
      <c r="B1469" s="62"/>
      <c r="C1469" s="62"/>
      <c r="E1469" s="61"/>
    </row>
    <row r="1470" ht="22.5" customHeight="1">
      <c r="B1470" s="62"/>
      <c r="C1470" s="62"/>
      <c r="E1470" s="61"/>
    </row>
    <row r="1471" ht="22.5" customHeight="1">
      <c r="B1471" s="62"/>
      <c r="C1471" s="62"/>
      <c r="E1471" s="61"/>
    </row>
    <row r="1472" ht="22.5" customHeight="1">
      <c r="B1472" s="62"/>
      <c r="C1472" s="62"/>
      <c r="E1472" s="61"/>
    </row>
    <row r="1473" ht="22.5" customHeight="1">
      <c r="B1473" s="62"/>
      <c r="C1473" s="62"/>
      <c r="E1473" s="61"/>
    </row>
    <row r="1474" ht="22.5" customHeight="1">
      <c r="B1474" s="62"/>
      <c r="C1474" s="62"/>
      <c r="E1474" s="61"/>
    </row>
    <row r="1475" ht="22.5" customHeight="1">
      <c r="B1475" s="62"/>
      <c r="C1475" s="62"/>
      <c r="E1475" s="61"/>
    </row>
    <row r="1476" ht="22.5" customHeight="1">
      <c r="B1476" s="62"/>
      <c r="C1476" s="62"/>
      <c r="E1476" s="61"/>
    </row>
    <row r="1477" ht="22.5" customHeight="1">
      <c r="B1477" s="62"/>
      <c r="C1477" s="62"/>
      <c r="E1477" s="61"/>
    </row>
    <row r="1478" ht="22.5" customHeight="1">
      <c r="B1478" s="62"/>
      <c r="C1478" s="62"/>
      <c r="E1478" s="61"/>
    </row>
    <row r="1479" ht="22.5" customHeight="1">
      <c r="B1479" s="62"/>
      <c r="C1479" s="62"/>
      <c r="E1479" s="61"/>
    </row>
    <row r="1480" ht="22.5" customHeight="1">
      <c r="B1480" s="62"/>
      <c r="C1480" s="62"/>
      <c r="E1480" s="61"/>
    </row>
    <row r="1481" ht="22.5" customHeight="1">
      <c r="B1481" s="62"/>
      <c r="C1481" s="62"/>
      <c r="E1481" s="61"/>
    </row>
    <row r="1482" ht="22.5" customHeight="1">
      <c r="B1482" s="62"/>
      <c r="C1482" s="62"/>
      <c r="E1482" s="61"/>
    </row>
    <row r="1483" ht="22.5" customHeight="1">
      <c r="B1483" s="62"/>
      <c r="C1483" s="62"/>
      <c r="E1483" s="61"/>
    </row>
    <row r="1484" ht="22.5" customHeight="1">
      <c r="B1484" s="62"/>
      <c r="C1484" s="62"/>
      <c r="E1484" s="61"/>
    </row>
    <row r="1485" ht="22.5" customHeight="1">
      <c r="B1485" s="62"/>
      <c r="C1485" s="62"/>
      <c r="E1485" s="61"/>
    </row>
    <row r="1486" ht="22.5" customHeight="1">
      <c r="B1486" s="62"/>
      <c r="C1486" s="62"/>
      <c r="E1486" s="61"/>
    </row>
    <row r="1487" ht="22.5" customHeight="1">
      <c r="B1487" s="62"/>
      <c r="C1487" s="62"/>
      <c r="E1487" s="61"/>
    </row>
    <row r="1488" ht="22.5" customHeight="1">
      <c r="B1488" s="62"/>
      <c r="C1488" s="62"/>
      <c r="E1488" s="61"/>
    </row>
    <row r="1489" ht="22.5" customHeight="1">
      <c r="B1489" s="62"/>
      <c r="C1489" s="62"/>
      <c r="E1489" s="61"/>
    </row>
    <row r="1490" ht="22.5" customHeight="1">
      <c r="B1490" s="62"/>
      <c r="C1490" s="62"/>
      <c r="E1490" s="61"/>
    </row>
    <row r="1491" ht="22.5" customHeight="1">
      <c r="B1491" s="62"/>
      <c r="C1491" s="62"/>
      <c r="E1491" s="61"/>
    </row>
    <row r="1492" ht="22.5" customHeight="1">
      <c r="B1492" s="62"/>
      <c r="C1492" s="62"/>
      <c r="E1492" s="61"/>
    </row>
    <row r="1493" ht="22.5" customHeight="1">
      <c r="B1493" s="62"/>
      <c r="C1493" s="62"/>
      <c r="E1493" s="61"/>
    </row>
    <row r="1494" ht="22.5" customHeight="1">
      <c r="B1494" s="62"/>
      <c r="C1494" s="62"/>
      <c r="E1494" s="61"/>
    </row>
    <row r="1495" ht="22.5" customHeight="1">
      <c r="B1495" s="62"/>
      <c r="C1495" s="62"/>
      <c r="E1495" s="61"/>
    </row>
    <row r="1496" ht="22.5" customHeight="1">
      <c r="B1496" s="62"/>
      <c r="C1496" s="62"/>
      <c r="E1496" s="61"/>
    </row>
    <row r="1497" ht="22.5" customHeight="1">
      <c r="B1497" s="62"/>
      <c r="C1497" s="62"/>
      <c r="E1497" s="61"/>
    </row>
    <row r="1498" ht="22.5" customHeight="1">
      <c r="B1498" s="62"/>
      <c r="C1498" s="62"/>
      <c r="E1498" s="61"/>
    </row>
    <row r="1499" ht="22.5" customHeight="1">
      <c r="B1499" s="62"/>
      <c r="C1499" s="62"/>
      <c r="E1499" s="61"/>
    </row>
    <row r="1500" ht="22.5" customHeight="1">
      <c r="B1500" s="62"/>
      <c r="C1500" s="62"/>
      <c r="E1500" s="61"/>
    </row>
    <row r="1501" ht="22.5" customHeight="1">
      <c r="B1501" s="62"/>
      <c r="C1501" s="62"/>
      <c r="E1501" s="61"/>
    </row>
    <row r="1502" ht="22.5" customHeight="1">
      <c r="B1502" s="62"/>
      <c r="C1502" s="62"/>
      <c r="E1502" s="61"/>
    </row>
    <row r="1503" ht="22.5" customHeight="1">
      <c r="B1503" s="62"/>
      <c r="C1503" s="62"/>
      <c r="E1503" s="61"/>
    </row>
    <row r="1504" ht="22.5" customHeight="1">
      <c r="B1504" s="62"/>
      <c r="C1504" s="62"/>
      <c r="E1504" s="61"/>
    </row>
    <row r="1505" ht="22.5" customHeight="1">
      <c r="B1505" s="62"/>
      <c r="C1505" s="62"/>
      <c r="E1505" s="61"/>
    </row>
    <row r="1506" ht="22.5" customHeight="1">
      <c r="B1506" s="62"/>
      <c r="C1506" s="62"/>
      <c r="E1506" s="61"/>
    </row>
    <row r="1507" ht="22.5" customHeight="1">
      <c r="B1507" s="62"/>
      <c r="C1507" s="62"/>
      <c r="E1507" s="61"/>
    </row>
    <row r="1508" ht="22.5" customHeight="1">
      <c r="B1508" s="62"/>
      <c r="C1508" s="62"/>
      <c r="E1508" s="61"/>
    </row>
    <row r="1509" ht="22.5" customHeight="1">
      <c r="B1509" s="62"/>
      <c r="C1509" s="62"/>
      <c r="E1509" s="61"/>
    </row>
    <row r="1510" ht="22.5" customHeight="1">
      <c r="B1510" s="62"/>
      <c r="C1510" s="62"/>
      <c r="E1510" s="61"/>
    </row>
    <row r="1511" ht="22.5" customHeight="1">
      <c r="B1511" s="62"/>
      <c r="C1511" s="62"/>
      <c r="E1511" s="61"/>
    </row>
    <row r="1512" ht="22.5" customHeight="1">
      <c r="B1512" s="62"/>
      <c r="C1512" s="62"/>
      <c r="E1512" s="61"/>
    </row>
    <row r="1513" ht="22.5" customHeight="1">
      <c r="B1513" s="62"/>
      <c r="C1513" s="62"/>
      <c r="E1513" s="61"/>
    </row>
    <row r="1514" ht="22.5" customHeight="1">
      <c r="B1514" s="62"/>
      <c r="C1514" s="62"/>
      <c r="E1514" s="61"/>
    </row>
    <row r="1515" ht="22.5" customHeight="1">
      <c r="B1515" s="62"/>
      <c r="C1515" s="62"/>
      <c r="E1515" s="61"/>
    </row>
    <row r="1516" ht="22.5" customHeight="1">
      <c r="B1516" s="62"/>
      <c r="C1516" s="62"/>
      <c r="E1516" s="61"/>
    </row>
    <row r="1517" ht="22.5" customHeight="1">
      <c r="B1517" s="62"/>
      <c r="C1517" s="62"/>
      <c r="E1517" s="61"/>
    </row>
    <row r="1518" ht="22.5" customHeight="1">
      <c r="B1518" s="62"/>
      <c r="C1518" s="62"/>
      <c r="E1518" s="61"/>
    </row>
    <row r="1519" ht="22.5" customHeight="1">
      <c r="B1519" s="62"/>
      <c r="C1519" s="62"/>
      <c r="E1519" s="61"/>
    </row>
    <row r="1520" ht="22.5" customHeight="1">
      <c r="B1520" s="62"/>
      <c r="C1520" s="62"/>
      <c r="E1520" s="61"/>
    </row>
    <row r="1521" ht="22.5" customHeight="1">
      <c r="B1521" s="62"/>
      <c r="C1521" s="62"/>
      <c r="E1521" s="61"/>
    </row>
    <row r="1522" ht="22.5" customHeight="1">
      <c r="B1522" s="62"/>
      <c r="C1522" s="62"/>
      <c r="E1522" s="61"/>
    </row>
    <row r="1523" ht="22.5" customHeight="1">
      <c r="B1523" s="62"/>
      <c r="C1523" s="62"/>
      <c r="E1523" s="61"/>
    </row>
    <row r="1524" ht="22.5" customHeight="1">
      <c r="B1524" s="62"/>
      <c r="C1524" s="62"/>
      <c r="E1524" s="61"/>
    </row>
    <row r="1525" ht="22.5" customHeight="1">
      <c r="B1525" s="62"/>
      <c r="C1525" s="62"/>
      <c r="E1525" s="61"/>
    </row>
    <row r="1526" ht="22.5" customHeight="1">
      <c r="B1526" s="62"/>
      <c r="C1526" s="62"/>
      <c r="E1526" s="61"/>
    </row>
    <row r="1527" ht="22.5" customHeight="1">
      <c r="B1527" s="62"/>
      <c r="C1527" s="62"/>
      <c r="E1527" s="61"/>
    </row>
    <row r="1528" ht="22.5" customHeight="1">
      <c r="B1528" s="62"/>
      <c r="C1528" s="62"/>
      <c r="E1528" s="61"/>
    </row>
    <row r="1529" ht="22.5" customHeight="1">
      <c r="B1529" s="62"/>
      <c r="C1529" s="62"/>
      <c r="E1529" s="61"/>
    </row>
    <row r="1530" ht="22.5" customHeight="1">
      <c r="B1530" s="62"/>
      <c r="C1530" s="62"/>
      <c r="E1530" s="61"/>
    </row>
    <row r="1531" ht="22.5" customHeight="1">
      <c r="B1531" s="62"/>
      <c r="C1531" s="62"/>
      <c r="E1531" s="61"/>
    </row>
    <row r="1532" ht="22.5" customHeight="1">
      <c r="B1532" s="62"/>
      <c r="C1532" s="62"/>
      <c r="E1532" s="61"/>
    </row>
    <row r="1533" ht="22.5" customHeight="1">
      <c r="B1533" s="62"/>
      <c r="C1533" s="62"/>
      <c r="E1533" s="61"/>
    </row>
    <row r="1534" ht="22.5" customHeight="1">
      <c r="B1534" s="62"/>
      <c r="C1534" s="62"/>
      <c r="E1534" s="61"/>
    </row>
    <row r="1535" ht="22.5" customHeight="1">
      <c r="B1535" s="62"/>
      <c r="C1535" s="62"/>
      <c r="E1535" s="61"/>
    </row>
    <row r="1536" ht="22.5" customHeight="1">
      <c r="B1536" s="62"/>
      <c r="C1536" s="62"/>
      <c r="E1536" s="61"/>
    </row>
    <row r="1537" ht="22.5" customHeight="1">
      <c r="B1537" s="62"/>
      <c r="C1537" s="62"/>
      <c r="E1537" s="61"/>
    </row>
    <row r="1538" ht="22.5" customHeight="1">
      <c r="B1538" s="62"/>
      <c r="C1538" s="62"/>
      <c r="E1538" s="61"/>
    </row>
    <row r="1539" ht="22.5" customHeight="1">
      <c r="B1539" s="62"/>
      <c r="C1539" s="62"/>
      <c r="E1539" s="61"/>
    </row>
    <row r="1540" ht="22.5" customHeight="1">
      <c r="B1540" s="62"/>
      <c r="C1540" s="62"/>
      <c r="E1540" s="61"/>
    </row>
    <row r="1541" ht="22.5" customHeight="1">
      <c r="B1541" s="62"/>
      <c r="C1541" s="62"/>
      <c r="E1541" s="61"/>
    </row>
    <row r="1542" ht="22.5" customHeight="1">
      <c r="B1542" s="62"/>
      <c r="C1542" s="62"/>
      <c r="E1542" s="61"/>
    </row>
    <row r="1543" ht="22.5" customHeight="1">
      <c r="B1543" s="62"/>
      <c r="C1543" s="62"/>
      <c r="E1543" s="61"/>
    </row>
    <row r="1544" ht="22.5" customHeight="1">
      <c r="B1544" s="62"/>
      <c r="C1544" s="62"/>
      <c r="E1544" s="61"/>
    </row>
    <row r="1545" ht="22.5" customHeight="1">
      <c r="B1545" s="62"/>
      <c r="C1545" s="62"/>
      <c r="E1545" s="61"/>
    </row>
    <row r="1546" ht="22.5" customHeight="1">
      <c r="B1546" s="62"/>
      <c r="C1546" s="62"/>
      <c r="E1546" s="61"/>
    </row>
    <row r="1547" ht="22.5" customHeight="1">
      <c r="B1547" s="62"/>
      <c r="C1547" s="62"/>
      <c r="E1547" s="61"/>
    </row>
    <row r="1548" ht="22.5" customHeight="1">
      <c r="B1548" s="62"/>
      <c r="C1548" s="62"/>
      <c r="E1548" s="61"/>
    </row>
    <row r="1549" ht="22.5" customHeight="1">
      <c r="B1549" s="62"/>
      <c r="C1549" s="62"/>
      <c r="E1549" s="61"/>
    </row>
    <row r="1550" ht="22.5" customHeight="1">
      <c r="B1550" s="62"/>
      <c r="C1550" s="62"/>
      <c r="E1550" s="61"/>
    </row>
    <row r="1551" ht="22.5" customHeight="1">
      <c r="B1551" s="62"/>
      <c r="C1551" s="62"/>
      <c r="E1551" s="61"/>
    </row>
    <row r="1552" ht="22.5" customHeight="1">
      <c r="B1552" s="62"/>
      <c r="C1552" s="62"/>
      <c r="E1552" s="61"/>
    </row>
    <row r="1553" ht="22.5" customHeight="1">
      <c r="B1553" s="62"/>
      <c r="C1553" s="62"/>
      <c r="E1553" s="61"/>
    </row>
    <row r="1554" ht="22.5" customHeight="1">
      <c r="B1554" s="62"/>
      <c r="C1554" s="62"/>
      <c r="E1554" s="61"/>
    </row>
    <row r="1555" ht="22.5" customHeight="1">
      <c r="B1555" s="62"/>
      <c r="C1555" s="62"/>
      <c r="E1555" s="61"/>
    </row>
    <row r="1556" ht="22.5" customHeight="1">
      <c r="B1556" s="62"/>
      <c r="C1556" s="62"/>
      <c r="E1556" s="61"/>
    </row>
    <row r="1557" ht="22.5" customHeight="1">
      <c r="B1557" s="62"/>
      <c r="C1557" s="62"/>
      <c r="E1557" s="61"/>
    </row>
    <row r="1558" ht="22.5" customHeight="1">
      <c r="B1558" s="62"/>
      <c r="C1558" s="62"/>
      <c r="E1558" s="61"/>
    </row>
    <row r="1559" ht="22.5" customHeight="1">
      <c r="B1559" s="62"/>
      <c r="C1559" s="62"/>
      <c r="E1559" s="61"/>
    </row>
    <row r="1560" ht="22.5" customHeight="1">
      <c r="B1560" s="62"/>
      <c r="C1560" s="62"/>
      <c r="E1560" s="61"/>
    </row>
    <row r="1561" ht="22.5" customHeight="1">
      <c r="B1561" s="62"/>
      <c r="C1561" s="62"/>
      <c r="E1561" s="61"/>
    </row>
    <row r="1562" ht="22.5" customHeight="1">
      <c r="B1562" s="62"/>
      <c r="C1562" s="62"/>
      <c r="E1562" s="61"/>
    </row>
    <row r="1563" ht="22.5" customHeight="1">
      <c r="B1563" s="62"/>
      <c r="C1563" s="62"/>
      <c r="E1563" s="61"/>
    </row>
    <row r="1564" ht="22.5" customHeight="1">
      <c r="B1564" s="62"/>
      <c r="C1564" s="62"/>
      <c r="E1564" s="61"/>
    </row>
    <row r="1565" ht="22.5" customHeight="1">
      <c r="B1565" s="62"/>
      <c r="C1565" s="62"/>
      <c r="E1565" s="61"/>
    </row>
    <row r="1566" ht="22.5" customHeight="1">
      <c r="B1566" s="62"/>
      <c r="C1566" s="62"/>
      <c r="E1566" s="61"/>
    </row>
    <row r="1567" ht="22.5" customHeight="1">
      <c r="B1567" s="62"/>
      <c r="C1567" s="62"/>
      <c r="E1567" s="61"/>
    </row>
    <row r="1568" ht="22.5" customHeight="1">
      <c r="B1568" s="62"/>
      <c r="C1568" s="62"/>
      <c r="E1568" s="61"/>
    </row>
    <row r="1569" ht="22.5" customHeight="1">
      <c r="B1569" s="62"/>
      <c r="C1569" s="62"/>
      <c r="E1569" s="61"/>
    </row>
    <row r="1570" ht="22.5" customHeight="1">
      <c r="B1570" s="62"/>
      <c r="C1570" s="62"/>
      <c r="E1570" s="61"/>
    </row>
    <row r="1571" ht="22.5" customHeight="1">
      <c r="B1571" s="62"/>
      <c r="C1571" s="62"/>
      <c r="E1571" s="61"/>
    </row>
    <row r="1572" ht="22.5" customHeight="1">
      <c r="B1572" s="62"/>
      <c r="C1572" s="62"/>
      <c r="E1572" s="61"/>
    </row>
    <row r="1573" ht="22.5" customHeight="1">
      <c r="B1573" s="62"/>
      <c r="C1573" s="62"/>
      <c r="E1573" s="61"/>
    </row>
    <row r="1574" ht="22.5" customHeight="1">
      <c r="B1574" s="62"/>
      <c r="C1574" s="62"/>
      <c r="E1574" s="61"/>
    </row>
    <row r="1575" ht="22.5" customHeight="1">
      <c r="B1575" s="62"/>
      <c r="C1575" s="62"/>
      <c r="E1575" s="61"/>
    </row>
    <row r="1576" ht="22.5" customHeight="1">
      <c r="B1576" s="62"/>
      <c r="C1576" s="62"/>
      <c r="E1576" s="61"/>
    </row>
    <row r="1577" ht="22.5" customHeight="1">
      <c r="B1577" s="62"/>
      <c r="C1577" s="62"/>
      <c r="E1577" s="61"/>
    </row>
    <row r="1578" ht="22.5" customHeight="1">
      <c r="B1578" s="62"/>
      <c r="C1578" s="62"/>
      <c r="E1578" s="61"/>
    </row>
    <row r="1579" ht="22.5" customHeight="1">
      <c r="B1579" s="62"/>
      <c r="C1579" s="62"/>
      <c r="E1579" s="61"/>
    </row>
    <row r="1580" ht="22.5" customHeight="1">
      <c r="B1580" s="62"/>
      <c r="C1580" s="62"/>
      <c r="E1580" s="61"/>
    </row>
    <row r="1581" ht="22.5" customHeight="1">
      <c r="B1581" s="62"/>
      <c r="C1581" s="62"/>
      <c r="E1581" s="61"/>
    </row>
    <row r="1582" ht="22.5" customHeight="1">
      <c r="B1582" s="62"/>
      <c r="C1582" s="62"/>
      <c r="E1582" s="61"/>
    </row>
    <row r="1583" ht="22.5" customHeight="1">
      <c r="B1583" s="62"/>
      <c r="C1583" s="62"/>
      <c r="E1583" s="61"/>
    </row>
    <row r="1584" ht="22.5" customHeight="1">
      <c r="B1584" s="62"/>
      <c r="C1584" s="62"/>
      <c r="E1584" s="61"/>
    </row>
    <row r="1585" ht="22.5" customHeight="1">
      <c r="B1585" s="62"/>
      <c r="C1585" s="62"/>
      <c r="E1585" s="61"/>
    </row>
    <row r="1586" ht="22.5" customHeight="1">
      <c r="B1586" s="62"/>
      <c r="C1586" s="62"/>
      <c r="E1586" s="61"/>
    </row>
    <row r="1587" ht="22.5" customHeight="1">
      <c r="B1587" s="62"/>
      <c r="C1587" s="62"/>
      <c r="E1587" s="61"/>
    </row>
    <row r="1588" ht="22.5" customHeight="1">
      <c r="B1588" s="62"/>
      <c r="C1588" s="62"/>
      <c r="E1588" s="61"/>
    </row>
    <row r="1589" ht="22.5" customHeight="1">
      <c r="B1589" s="62"/>
      <c r="C1589" s="62"/>
      <c r="E1589" s="61"/>
    </row>
    <row r="1590" ht="22.5" customHeight="1">
      <c r="B1590" s="62"/>
      <c r="C1590" s="62"/>
      <c r="E1590" s="61"/>
    </row>
    <row r="1591" ht="22.5" customHeight="1">
      <c r="B1591" s="62"/>
      <c r="C1591" s="62"/>
      <c r="E1591" s="61"/>
    </row>
    <row r="1592" ht="22.5" customHeight="1">
      <c r="B1592" s="62"/>
      <c r="C1592" s="62"/>
      <c r="E1592" s="61"/>
    </row>
    <row r="1593" ht="22.5" customHeight="1">
      <c r="B1593" s="62"/>
      <c r="C1593" s="62"/>
      <c r="E1593" s="61"/>
    </row>
    <row r="1594" ht="22.5" customHeight="1">
      <c r="B1594" s="62"/>
      <c r="C1594" s="62"/>
      <c r="E1594" s="61"/>
    </row>
    <row r="1595" ht="22.5" customHeight="1">
      <c r="B1595" s="62"/>
      <c r="C1595" s="62"/>
      <c r="E1595" s="61"/>
    </row>
    <row r="1596" ht="22.5" customHeight="1">
      <c r="B1596" s="62"/>
      <c r="C1596" s="62"/>
      <c r="E1596" s="61"/>
    </row>
    <row r="1597" ht="22.5" customHeight="1">
      <c r="B1597" s="62"/>
      <c r="C1597" s="62"/>
      <c r="E1597" s="61"/>
    </row>
    <row r="1598" ht="22.5" customHeight="1">
      <c r="B1598" s="62"/>
      <c r="C1598" s="62"/>
      <c r="E1598" s="61"/>
    </row>
    <row r="1599" ht="22.5" customHeight="1">
      <c r="B1599" s="62"/>
      <c r="C1599" s="62"/>
      <c r="E1599" s="61"/>
    </row>
    <row r="1600" ht="22.5" customHeight="1">
      <c r="B1600" s="62"/>
      <c r="C1600" s="62"/>
      <c r="E1600" s="61"/>
    </row>
    <row r="1601" ht="22.5" customHeight="1">
      <c r="B1601" s="62"/>
      <c r="C1601" s="62"/>
      <c r="E1601" s="61"/>
    </row>
    <row r="1602" ht="22.5" customHeight="1">
      <c r="B1602" s="62"/>
      <c r="C1602" s="62"/>
      <c r="E1602" s="61"/>
    </row>
    <row r="1603" ht="22.5" customHeight="1">
      <c r="B1603" s="62"/>
      <c r="C1603" s="62"/>
      <c r="E1603" s="61"/>
    </row>
    <row r="1604" ht="22.5" customHeight="1">
      <c r="B1604" s="62"/>
      <c r="C1604" s="62"/>
      <c r="E1604" s="61"/>
    </row>
    <row r="1605" ht="22.5" customHeight="1">
      <c r="B1605" s="62"/>
      <c r="C1605" s="62"/>
      <c r="E1605" s="61"/>
    </row>
    <row r="1606" ht="22.5" customHeight="1">
      <c r="B1606" s="62"/>
      <c r="C1606" s="62"/>
      <c r="E1606" s="61"/>
    </row>
    <row r="1607" ht="22.5" customHeight="1">
      <c r="B1607" s="62"/>
      <c r="C1607" s="62"/>
      <c r="E1607" s="61"/>
    </row>
    <row r="1608" ht="22.5" customHeight="1">
      <c r="B1608" s="62"/>
      <c r="C1608" s="62"/>
      <c r="E1608" s="61"/>
    </row>
    <row r="1609" ht="22.5" customHeight="1">
      <c r="B1609" s="62"/>
      <c r="C1609" s="62"/>
      <c r="E1609" s="61"/>
    </row>
    <row r="1610" ht="22.5" customHeight="1">
      <c r="B1610" s="62"/>
      <c r="C1610" s="62"/>
      <c r="E1610" s="61"/>
    </row>
    <row r="1611" ht="22.5" customHeight="1">
      <c r="B1611" s="62"/>
      <c r="C1611" s="62"/>
      <c r="E1611" s="61"/>
    </row>
    <row r="1612" ht="22.5" customHeight="1">
      <c r="B1612" s="62"/>
      <c r="C1612" s="62"/>
      <c r="E1612" s="61"/>
    </row>
    <row r="1613" ht="22.5" customHeight="1">
      <c r="B1613" s="62"/>
      <c r="C1613" s="62"/>
      <c r="E1613" s="61"/>
    </row>
    <row r="1614" ht="22.5" customHeight="1">
      <c r="B1614" s="62"/>
      <c r="C1614" s="62"/>
      <c r="E1614" s="61"/>
    </row>
    <row r="1615" ht="22.5" customHeight="1">
      <c r="B1615" s="62"/>
      <c r="C1615" s="62"/>
      <c r="E1615" s="61"/>
    </row>
    <row r="1616" ht="22.5" customHeight="1">
      <c r="B1616" s="62"/>
      <c r="C1616" s="62"/>
      <c r="E1616" s="61"/>
    </row>
    <row r="1617" ht="22.5" customHeight="1">
      <c r="B1617" s="62"/>
      <c r="C1617" s="62"/>
      <c r="E1617" s="61"/>
    </row>
    <row r="1618" ht="22.5" customHeight="1">
      <c r="B1618" s="62"/>
      <c r="C1618" s="62"/>
      <c r="E1618" s="61"/>
    </row>
    <row r="1619" ht="22.5" customHeight="1">
      <c r="B1619" s="62"/>
      <c r="C1619" s="62"/>
      <c r="E1619" s="61"/>
    </row>
    <row r="1620" ht="22.5" customHeight="1">
      <c r="B1620" s="62"/>
      <c r="C1620" s="62"/>
      <c r="E1620" s="61"/>
    </row>
    <row r="1621" ht="22.5" customHeight="1">
      <c r="B1621" s="62"/>
      <c r="C1621" s="62"/>
      <c r="E1621" s="61"/>
    </row>
    <row r="1622" ht="22.5" customHeight="1">
      <c r="B1622" s="62"/>
      <c r="C1622" s="62"/>
      <c r="E1622" s="61"/>
    </row>
    <row r="1623" ht="22.5" customHeight="1">
      <c r="B1623" s="62"/>
      <c r="C1623" s="62"/>
      <c r="E1623" s="61"/>
    </row>
    <row r="1624" ht="22.5" customHeight="1">
      <c r="B1624" s="62"/>
      <c r="C1624" s="62"/>
      <c r="E1624" s="61"/>
    </row>
    <row r="1625" ht="22.5" customHeight="1">
      <c r="B1625" s="62"/>
      <c r="C1625" s="62"/>
      <c r="E1625" s="61"/>
    </row>
    <row r="1626" ht="22.5" customHeight="1">
      <c r="B1626" s="62"/>
      <c r="C1626" s="62"/>
      <c r="E1626" s="61"/>
    </row>
    <row r="1627" ht="22.5" customHeight="1">
      <c r="B1627" s="62"/>
      <c r="C1627" s="62"/>
      <c r="E1627" s="61"/>
    </row>
    <row r="1628" ht="22.5" customHeight="1">
      <c r="B1628" s="62"/>
      <c r="C1628" s="62"/>
      <c r="E1628" s="61"/>
    </row>
    <row r="1629" ht="22.5" customHeight="1">
      <c r="B1629" s="62"/>
      <c r="C1629" s="62"/>
      <c r="E1629" s="61"/>
    </row>
    <row r="1630" ht="22.5" customHeight="1">
      <c r="B1630" s="62"/>
      <c r="C1630" s="62"/>
      <c r="E1630" s="61"/>
    </row>
    <row r="1631" ht="22.5" customHeight="1">
      <c r="B1631" s="62"/>
      <c r="C1631" s="62"/>
      <c r="E1631" s="61"/>
    </row>
    <row r="1632" ht="22.5" customHeight="1">
      <c r="B1632" s="62"/>
      <c r="C1632" s="62"/>
      <c r="E1632" s="61"/>
    </row>
    <row r="1633" ht="22.5" customHeight="1">
      <c r="B1633" s="62"/>
      <c r="C1633" s="62"/>
      <c r="E1633" s="61"/>
    </row>
    <row r="1634" ht="22.5" customHeight="1">
      <c r="B1634" s="62"/>
      <c r="C1634" s="62"/>
      <c r="E1634" s="61"/>
    </row>
    <row r="1635" ht="22.5" customHeight="1">
      <c r="B1635" s="62"/>
      <c r="C1635" s="62"/>
      <c r="E1635" s="61"/>
    </row>
    <row r="1636" ht="22.5" customHeight="1">
      <c r="B1636" s="62"/>
      <c r="C1636" s="62"/>
      <c r="E1636" s="61"/>
    </row>
    <row r="1637" ht="22.5" customHeight="1">
      <c r="B1637" s="62"/>
      <c r="C1637" s="62"/>
      <c r="E1637" s="61"/>
    </row>
    <row r="1638" ht="22.5" customHeight="1">
      <c r="B1638" s="62"/>
      <c r="C1638" s="62"/>
      <c r="E1638" s="61"/>
    </row>
    <row r="1639" ht="22.5" customHeight="1">
      <c r="B1639" s="62"/>
      <c r="C1639" s="62"/>
      <c r="E1639" s="61"/>
    </row>
    <row r="1640" ht="22.5" customHeight="1">
      <c r="B1640" s="62"/>
      <c r="C1640" s="62"/>
      <c r="E1640" s="61"/>
    </row>
    <row r="1641" ht="22.5" customHeight="1">
      <c r="B1641" s="62"/>
      <c r="C1641" s="62"/>
      <c r="E1641" s="61"/>
    </row>
    <row r="1642" ht="22.5" customHeight="1">
      <c r="B1642" s="62"/>
      <c r="C1642" s="62"/>
      <c r="E1642" s="61"/>
    </row>
    <row r="1643" ht="22.5" customHeight="1">
      <c r="B1643" s="62"/>
      <c r="C1643" s="62"/>
      <c r="E1643" s="61"/>
    </row>
    <row r="1644" ht="22.5" customHeight="1">
      <c r="B1644" s="62"/>
      <c r="C1644" s="62"/>
      <c r="E1644" s="61"/>
    </row>
    <row r="1645" ht="22.5" customHeight="1">
      <c r="B1645" s="62"/>
      <c r="C1645" s="62"/>
      <c r="E1645" s="61"/>
    </row>
    <row r="1646" ht="22.5" customHeight="1">
      <c r="B1646" s="62"/>
      <c r="C1646" s="62"/>
      <c r="E1646" s="61"/>
    </row>
    <row r="1647" ht="22.5" customHeight="1">
      <c r="B1647" s="62"/>
      <c r="C1647" s="62"/>
      <c r="E1647" s="61"/>
    </row>
    <row r="1648" ht="22.5" customHeight="1">
      <c r="B1648" s="62"/>
      <c r="C1648" s="62"/>
      <c r="E1648" s="61"/>
    </row>
    <row r="1649" ht="22.5" customHeight="1">
      <c r="B1649" s="62"/>
      <c r="C1649" s="62"/>
      <c r="E1649" s="61"/>
    </row>
    <row r="1650" ht="22.5" customHeight="1">
      <c r="B1650" s="62"/>
      <c r="C1650" s="62"/>
      <c r="E1650" s="61"/>
    </row>
    <row r="1651" ht="22.5" customHeight="1">
      <c r="B1651" s="62"/>
      <c r="C1651" s="62"/>
      <c r="E1651" s="61"/>
    </row>
    <row r="1652" ht="22.5" customHeight="1">
      <c r="B1652" s="62"/>
      <c r="C1652" s="62"/>
      <c r="E1652" s="61"/>
    </row>
    <row r="1653" ht="22.5" customHeight="1">
      <c r="B1653" s="62"/>
      <c r="C1653" s="62"/>
      <c r="E1653" s="61"/>
    </row>
    <row r="1654" ht="22.5" customHeight="1">
      <c r="B1654" s="62"/>
      <c r="C1654" s="62"/>
      <c r="E1654" s="61"/>
    </row>
    <row r="1655" ht="22.5" customHeight="1">
      <c r="B1655" s="62"/>
      <c r="C1655" s="62"/>
      <c r="E1655" s="61"/>
    </row>
    <row r="1656" ht="22.5" customHeight="1">
      <c r="B1656" s="62"/>
      <c r="C1656" s="62"/>
      <c r="E1656" s="61"/>
    </row>
    <row r="1657" ht="22.5" customHeight="1">
      <c r="B1657" s="62"/>
      <c r="C1657" s="62"/>
      <c r="E1657" s="61"/>
    </row>
    <row r="1658" ht="22.5" customHeight="1">
      <c r="B1658" s="62"/>
      <c r="C1658" s="62"/>
      <c r="E1658" s="61"/>
    </row>
    <row r="1659" ht="22.5" customHeight="1">
      <c r="B1659" s="62"/>
      <c r="C1659" s="62"/>
      <c r="E1659" s="61"/>
    </row>
    <row r="1660" ht="22.5" customHeight="1">
      <c r="B1660" s="62"/>
      <c r="C1660" s="62"/>
      <c r="E1660" s="61"/>
    </row>
    <row r="1661" ht="22.5" customHeight="1">
      <c r="B1661" s="62"/>
      <c r="C1661" s="62"/>
      <c r="E1661" s="61"/>
    </row>
    <row r="1662" ht="22.5" customHeight="1">
      <c r="B1662" s="62"/>
      <c r="C1662" s="62"/>
      <c r="E1662" s="61"/>
    </row>
    <row r="1663" ht="22.5" customHeight="1">
      <c r="B1663" s="62"/>
      <c r="C1663" s="62"/>
      <c r="E1663" s="61"/>
    </row>
    <row r="1664" ht="22.5" customHeight="1">
      <c r="B1664" s="62"/>
      <c r="C1664" s="62"/>
      <c r="E1664" s="61"/>
    </row>
    <row r="1665" ht="22.5" customHeight="1">
      <c r="B1665" s="62"/>
      <c r="C1665" s="62"/>
      <c r="E1665" s="61"/>
    </row>
    <row r="1666" ht="22.5" customHeight="1">
      <c r="B1666" s="62"/>
      <c r="C1666" s="62"/>
      <c r="E1666" s="61"/>
    </row>
    <row r="1667" ht="22.5" customHeight="1">
      <c r="B1667" s="62"/>
      <c r="C1667" s="62"/>
      <c r="E1667" s="61"/>
    </row>
    <row r="1668" ht="22.5" customHeight="1">
      <c r="B1668" s="62"/>
      <c r="C1668" s="62"/>
      <c r="E1668" s="61"/>
    </row>
    <row r="1669" ht="22.5" customHeight="1">
      <c r="B1669" s="62"/>
      <c r="C1669" s="62"/>
      <c r="E1669" s="61"/>
    </row>
    <row r="1670" ht="22.5" customHeight="1">
      <c r="B1670" s="62"/>
      <c r="C1670" s="62"/>
      <c r="E1670" s="61"/>
    </row>
    <row r="1671" ht="22.5" customHeight="1">
      <c r="B1671" s="62"/>
      <c r="C1671" s="62"/>
      <c r="E1671" s="61"/>
    </row>
    <row r="1672" ht="22.5" customHeight="1">
      <c r="B1672" s="62"/>
      <c r="C1672" s="62"/>
      <c r="E1672" s="61"/>
    </row>
    <row r="1673" ht="22.5" customHeight="1">
      <c r="B1673" s="62"/>
      <c r="C1673" s="62"/>
      <c r="E1673" s="61"/>
    </row>
    <row r="1674" ht="22.5" customHeight="1">
      <c r="B1674" s="62"/>
      <c r="C1674" s="62"/>
      <c r="E1674" s="61"/>
    </row>
    <row r="1675" ht="22.5" customHeight="1">
      <c r="B1675" s="62"/>
      <c r="C1675" s="62"/>
      <c r="E1675" s="61"/>
    </row>
    <row r="1676" ht="22.5" customHeight="1">
      <c r="B1676" s="62"/>
      <c r="C1676" s="62"/>
      <c r="E1676" s="61"/>
    </row>
    <row r="1677" ht="22.5" customHeight="1">
      <c r="B1677" s="62"/>
      <c r="C1677" s="62"/>
      <c r="E1677" s="61"/>
    </row>
    <row r="1678" ht="22.5" customHeight="1">
      <c r="B1678" s="62"/>
      <c r="C1678" s="62"/>
      <c r="E1678" s="61"/>
    </row>
    <row r="1679" ht="22.5" customHeight="1">
      <c r="B1679" s="62"/>
      <c r="C1679" s="62"/>
      <c r="E1679" s="61"/>
    </row>
    <row r="1680" ht="22.5" customHeight="1">
      <c r="B1680" s="62"/>
      <c r="C1680" s="62"/>
      <c r="E1680" s="61"/>
    </row>
    <row r="1681" ht="22.5" customHeight="1">
      <c r="B1681" s="62"/>
      <c r="C1681" s="62"/>
      <c r="E1681" s="61"/>
    </row>
    <row r="1682" ht="22.5" customHeight="1">
      <c r="B1682" s="62"/>
      <c r="C1682" s="62"/>
      <c r="E1682" s="61"/>
    </row>
    <row r="1683" ht="22.5" customHeight="1">
      <c r="B1683" s="62"/>
      <c r="C1683" s="62"/>
      <c r="E1683" s="61"/>
    </row>
    <row r="1684" ht="22.5" customHeight="1">
      <c r="B1684" s="62"/>
      <c r="C1684" s="62"/>
      <c r="E1684" s="61"/>
    </row>
    <row r="1685" ht="22.5" customHeight="1">
      <c r="B1685" s="62"/>
      <c r="C1685" s="62"/>
      <c r="E1685" s="61"/>
    </row>
    <row r="1686" ht="22.5" customHeight="1">
      <c r="B1686" s="62"/>
      <c r="C1686" s="62"/>
      <c r="E1686" s="61"/>
    </row>
    <row r="1687" ht="22.5" customHeight="1">
      <c r="B1687" s="62"/>
      <c r="C1687" s="62"/>
      <c r="E1687" s="61"/>
    </row>
    <row r="1688" ht="22.5" customHeight="1">
      <c r="B1688" s="62"/>
      <c r="C1688" s="62"/>
      <c r="E1688" s="61"/>
    </row>
    <row r="1689" ht="22.5" customHeight="1">
      <c r="B1689" s="62"/>
      <c r="C1689" s="62"/>
      <c r="E1689" s="61"/>
    </row>
    <row r="1690" ht="22.5" customHeight="1">
      <c r="B1690" s="62"/>
      <c r="C1690" s="62"/>
      <c r="E1690" s="61"/>
    </row>
    <row r="1691" ht="22.5" customHeight="1">
      <c r="B1691" s="62"/>
      <c r="C1691" s="62"/>
      <c r="E1691" s="61"/>
    </row>
    <row r="1692" ht="22.5" customHeight="1">
      <c r="B1692" s="62"/>
      <c r="C1692" s="62"/>
      <c r="E1692" s="61"/>
    </row>
    <row r="1693" ht="22.5" customHeight="1">
      <c r="B1693" s="62"/>
      <c r="C1693" s="62"/>
      <c r="E1693" s="61"/>
    </row>
    <row r="1694" ht="22.5" customHeight="1">
      <c r="B1694" s="62"/>
      <c r="C1694" s="62"/>
      <c r="E1694" s="61"/>
    </row>
    <row r="1695" ht="22.5" customHeight="1">
      <c r="B1695" s="62"/>
      <c r="C1695" s="62"/>
      <c r="E1695" s="61"/>
    </row>
    <row r="1696" ht="22.5" customHeight="1">
      <c r="B1696" s="62"/>
      <c r="C1696" s="62"/>
      <c r="E1696" s="61"/>
    </row>
    <row r="1697" ht="22.5" customHeight="1">
      <c r="B1697" s="62"/>
      <c r="C1697" s="62"/>
      <c r="E1697" s="61"/>
    </row>
    <row r="1698" ht="22.5" customHeight="1">
      <c r="B1698" s="62"/>
      <c r="C1698" s="62"/>
      <c r="E1698" s="61"/>
    </row>
    <row r="1699" ht="22.5" customHeight="1">
      <c r="B1699" s="62"/>
      <c r="C1699" s="62"/>
      <c r="E1699" s="61"/>
    </row>
    <row r="1700" ht="22.5" customHeight="1">
      <c r="B1700" s="62"/>
      <c r="C1700" s="62"/>
      <c r="E1700" s="61"/>
    </row>
    <row r="1701" ht="22.5" customHeight="1">
      <c r="B1701" s="62"/>
      <c r="C1701" s="62"/>
      <c r="E1701" s="61"/>
    </row>
    <row r="1702" ht="22.5" customHeight="1">
      <c r="B1702" s="62"/>
      <c r="C1702" s="62"/>
      <c r="E1702" s="61"/>
    </row>
    <row r="1703" ht="22.5" customHeight="1">
      <c r="B1703" s="62"/>
      <c r="C1703" s="62"/>
      <c r="E1703" s="61"/>
    </row>
    <row r="1704" ht="22.5" customHeight="1">
      <c r="B1704" s="62"/>
      <c r="C1704" s="62"/>
      <c r="E1704" s="61"/>
    </row>
    <row r="1705" ht="22.5" customHeight="1">
      <c r="B1705" s="62"/>
      <c r="C1705" s="62"/>
      <c r="E1705" s="61"/>
    </row>
    <row r="1706" ht="22.5" customHeight="1">
      <c r="B1706" s="62"/>
      <c r="C1706" s="62"/>
      <c r="E1706" s="61"/>
    </row>
    <row r="1707" ht="22.5" customHeight="1">
      <c r="B1707" s="62"/>
      <c r="C1707" s="62"/>
      <c r="E1707" s="61"/>
    </row>
    <row r="1708" ht="22.5" customHeight="1">
      <c r="B1708" s="62"/>
      <c r="C1708" s="62"/>
      <c r="E1708" s="61"/>
    </row>
    <row r="1709" ht="22.5" customHeight="1">
      <c r="B1709" s="62"/>
      <c r="C1709" s="62"/>
      <c r="E1709" s="61"/>
    </row>
    <row r="1710" ht="22.5" customHeight="1">
      <c r="B1710" s="62"/>
      <c r="C1710" s="62"/>
      <c r="E1710" s="61"/>
    </row>
    <row r="1711" ht="22.5" customHeight="1">
      <c r="B1711" s="62"/>
      <c r="C1711" s="62"/>
      <c r="E1711" s="61"/>
    </row>
    <row r="1712" ht="22.5" customHeight="1">
      <c r="B1712" s="62"/>
      <c r="C1712" s="62"/>
      <c r="E1712" s="61"/>
    </row>
    <row r="1713" ht="22.5" customHeight="1">
      <c r="B1713" s="62"/>
      <c r="C1713" s="62"/>
      <c r="E1713" s="61"/>
    </row>
    <row r="1714" ht="22.5" customHeight="1">
      <c r="B1714" s="62"/>
      <c r="C1714" s="62"/>
      <c r="E1714" s="61"/>
    </row>
    <row r="1715" ht="22.5" customHeight="1">
      <c r="B1715" s="62"/>
      <c r="C1715" s="62"/>
      <c r="E1715" s="61"/>
    </row>
    <row r="1716" ht="22.5" customHeight="1">
      <c r="B1716" s="62"/>
      <c r="C1716" s="62"/>
      <c r="E1716" s="61"/>
    </row>
    <row r="1717" ht="22.5" customHeight="1">
      <c r="B1717" s="62"/>
      <c r="C1717" s="62"/>
      <c r="E1717" s="61"/>
    </row>
    <row r="1718" ht="22.5" customHeight="1">
      <c r="B1718" s="62"/>
      <c r="C1718" s="62"/>
      <c r="E1718" s="61"/>
    </row>
    <row r="1719" ht="22.5" customHeight="1">
      <c r="B1719" s="62"/>
      <c r="C1719" s="62"/>
      <c r="E1719" s="61"/>
    </row>
    <row r="1720" ht="22.5" customHeight="1">
      <c r="B1720" s="62"/>
      <c r="C1720" s="62"/>
      <c r="E1720" s="61"/>
    </row>
    <row r="1721" ht="22.5" customHeight="1">
      <c r="B1721" s="62"/>
      <c r="C1721" s="62"/>
      <c r="E1721" s="61"/>
    </row>
    <row r="1722" ht="22.5" customHeight="1">
      <c r="B1722" s="62"/>
      <c r="C1722" s="62"/>
      <c r="E1722" s="61"/>
    </row>
    <row r="1723" ht="22.5" customHeight="1">
      <c r="B1723" s="62"/>
      <c r="C1723" s="62"/>
      <c r="E1723" s="61"/>
    </row>
    <row r="1724" ht="22.5" customHeight="1">
      <c r="B1724" s="62"/>
      <c r="C1724" s="62"/>
      <c r="E1724" s="61"/>
    </row>
    <row r="1725" ht="22.5" customHeight="1">
      <c r="B1725" s="62"/>
      <c r="C1725" s="62"/>
      <c r="E1725" s="61"/>
    </row>
    <row r="1726" ht="22.5" customHeight="1">
      <c r="B1726" s="62"/>
      <c r="C1726" s="62"/>
      <c r="E1726" s="61"/>
    </row>
    <row r="1727" ht="22.5" customHeight="1">
      <c r="B1727" s="62"/>
      <c r="C1727" s="62"/>
      <c r="E1727" s="61"/>
    </row>
    <row r="1728" ht="22.5" customHeight="1">
      <c r="B1728" s="62"/>
      <c r="C1728" s="62"/>
      <c r="E1728" s="61"/>
    </row>
    <row r="1729" ht="22.5" customHeight="1">
      <c r="B1729" s="62"/>
      <c r="C1729" s="62"/>
      <c r="E1729" s="61"/>
    </row>
    <row r="1730" ht="22.5" customHeight="1">
      <c r="B1730" s="62"/>
      <c r="C1730" s="62"/>
      <c r="E1730" s="61"/>
    </row>
    <row r="1731" ht="22.5" customHeight="1">
      <c r="B1731" s="62"/>
      <c r="C1731" s="62"/>
      <c r="E1731" s="61"/>
    </row>
    <row r="1732" ht="22.5" customHeight="1">
      <c r="B1732" s="62"/>
      <c r="C1732" s="62"/>
      <c r="E1732" s="61"/>
    </row>
    <row r="1733" ht="22.5" customHeight="1">
      <c r="B1733" s="62"/>
      <c r="C1733" s="62"/>
      <c r="E1733" s="61"/>
    </row>
    <row r="1734" ht="22.5" customHeight="1">
      <c r="B1734" s="62"/>
      <c r="C1734" s="62"/>
      <c r="E1734" s="61"/>
    </row>
    <row r="1735" ht="22.5" customHeight="1">
      <c r="B1735" s="62"/>
      <c r="C1735" s="62"/>
      <c r="E1735" s="61"/>
    </row>
    <row r="1736" ht="22.5" customHeight="1">
      <c r="B1736" s="62"/>
      <c r="C1736" s="62"/>
      <c r="E1736" s="61"/>
    </row>
    <row r="1737" ht="22.5" customHeight="1">
      <c r="B1737" s="62"/>
      <c r="C1737" s="62"/>
      <c r="E1737" s="61"/>
    </row>
    <row r="1738" ht="22.5" customHeight="1">
      <c r="B1738" s="62"/>
      <c r="C1738" s="62"/>
      <c r="E1738" s="61"/>
    </row>
    <row r="1739" ht="22.5" customHeight="1">
      <c r="B1739" s="62"/>
      <c r="C1739" s="62"/>
      <c r="E1739" s="61"/>
    </row>
    <row r="1740" ht="22.5" customHeight="1">
      <c r="B1740" s="62"/>
      <c r="C1740" s="62"/>
      <c r="E1740" s="61"/>
    </row>
    <row r="1741" ht="22.5" customHeight="1">
      <c r="B1741" s="62"/>
      <c r="C1741" s="62"/>
      <c r="E1741" s="61"/>
    </row>
    <row r="1742" ht="22.5" customHeight="1">
      <c r="B1742" s="62"/>
      <c r="C1742" s="62"/>
      <c r="E1742" s="61"/>
    </row>
    <row r="1743" ht="22.5" customHeight="1">
      <c r="B1743" s="62"/>
      <c r="C1743" s="62"/>
      <c r="E1743" s="61"/>
    </row>
    <row r="1744" ht="22.5" customHeight="1">
      <c r="B1744" s="62"/>
      <c r="C1744" s="62"/>
      <c r="E1744" s="61"/>
    </row>
    <row r="1745" ht="22.5" customHeight="1">
      <c r="B1745" s="62"/>
      <c r="C1745" s="62"/>
      <c r="E1745" s="61"/>
    </row>
    <row r="1746" ht="22.5" customHeight="1">
      <c r="B1746" s="62"/>
      <c r="C1746" s="62"/>
      <c r="E1746" s="61"/>
    </row>
    <row r="1747" ht="22.5" customHeight="1">
      <c r="B1747" s="62"/>
      <c r="C1747" s="62"/>
      <c r="E1747" s="61"/>
    </row>
    <row r="1748" ht="22.5" customHeight="1">
      <c r="B1748" s="62"/>
      <c r="C1748" s="62"/>
      <c r="E1748" s="61"/>
    </row>
    <row r="1749" ht="22.5" customHeight="1">
      <c r="B1749" s="62"/>
      <c r="C1749" s="62"/>
      <c r="E1749" s="61"/>
    </row>
    <row r="1750" ht="22.5" customHeight="1">
      <c r="B1750" s="62"/>
      <c r="C1750" s="62"/>
      <c r="E1750" s="61"/>
    </row>
    <row r="1751" ht="22.5" customHeight="1">
      <c r="B1751" s="62"/>
      <c r="C1751" s="62"/>
      <c r="E1751" s="61"/>
    </row>
    <row r="1752" ht="22.5" customHeight="1">
      <c r="B1752" s="62"/>
      <c r="C1752" s="62"/>
      <c r="E1752" s="61"/>
    </row>
    <row r="1753" ht="22.5" customHeight="1">
      <c r="B1753" s="62"/>
      <c r="C1753" s="62"/>
      <c r="E1753" s="61"/>
    </row>
    <row r="1754" ht="22.5" customHeight="1">
      <c r="B1754" s="62"/>
      <c r="C1754" s="62"/>
      <c r="E1754" s="61"/>
    </row>
    <row r="1755" ht="22.5" customHeight="1">
      <c r="B1755" s="62"/>
      <c r="C1755" s="62"/>
      <c r="E1755" s="61"/>
    </row>
    <row r="1756" ht="22.5" customHeight="1">
      <c r="B1756" s="62"/>
      <c r="C1756" s="62"/>
      <c r="E1756" s="61"/>
    </row>
    <row r="1757" ht="22.5" customHeight="1">
      <c r="B1757" s="62"/>
      <c r="C1757" s="62"/>
      <c r="E1757" s="61"/>
    </row>
    <row r="1758" ht="22.5" customHeight="1">
      <c r="B1758" s="62"/>
      <c r="C1758" s="62"/>
      <c r="E1758" s="61"/>
    </row>
    <row r="1759" ht="22.5" customHeight="1">
      <c r="B1759" s="62"/>
      <c r="C1759" s="62"/>
      <c r="E1759" s="61"/>
    </row>
    <row r="1760" ht="22.5" customHeight="1">
      <c r="B1760" s="62"/>
      <c r="C1760" s="62"/>
      <c r="E1760" s="61"/>
    </row>
    <row r="1761" ht="22.5" customHeight="1">
      <c r="B1761" s="62"/>
      <c r="C1761" s="62"/>
      <c r="E1761" s="61"/>
    </row>
    <row r="1762" ht="22.5" customHeight="1">
      <c r="B1762" s="62"/>
      <c r="C1762" s="62"/>
      <c r="E1762" s="61"/>
    </row>
    <row r="1763" ht="22.5" customHeight="1">
      <c r="B1763" s="62"/>
      <c r="C1763" s="62"/>
      <c r="E1763" s="61"/>
    </row>
    <row r="1764" ht="22.5" customHeight="1">
      <c r="B1764" s="62"/>
      <c r="C1764" s="62"/>
      <c r="E1764" s="61"/>
    </row>
    <row r="1765" ht="22.5" customHeight="1">
      <c r="B1765" s="62"/>
      <c r="C1765" s="62"/>
      <c r="E1765" s="61"/>
    </row>
    <row r="1766" ht="22.5" customHeight="1">
      <c r="B1766" s="62"/>
      <c r="C1766" s="62"/>
      <c r="E1766" s="61"/>
    </row>
    <row r="1767" ht="22.5" customHeight="1">
      <c r="B1767" s="62"/>
      <c r="C1767" s="62"/>
      <c r="E1767" s="61"/>
    </row>
    <row r="1768" ht="22.5" customHeight="1">
      <c r="B1768" s="62"/>
      <c r="C1768" s="62"/>
      <c r="E1768" s="61"/>
    </row>
    <row r="1769" ht="22.5" customHeight="1">
      <c r="B1769" s="62"/>
      <c r="C1769" s="62"/>
      <c r="E1769" s="61"/>
    </row>
    <row r="1770" ht="22.5" customHeight="1">
      <c r="B1770" s="62"/>
      <c r="C1770" s="62"/>
      <c r="E1770" s="61"/>
    </row>
    <row r="1771" ht="22.5" customHeight="1">
      <c r="B1771" s="62"/>
      <c r="C1771" s="62"/>
      <c r="E1771" s="61"/>
    </row>
    <row r="1772" ht="22.5" customHeight="1">
      <c r="B1772" s="62"/>
      <c r="C1772" s="62"/>
      <c r="E1772" s="61"/>
    </row>
    <row r="1773" ht="22.5" customHeight="1">
      <c r="B1773" s="62"/>
      <c r="C1773" s="62"/>
      <c r="E1773" s="61"/>
    </row>
    <row r="1774" ht="22.5" customHeight="1">
      <c r="B1774" s="62"/>
      <c r="C1774" s="62"/>
      <c r="E1774" s="61"/>
    </row>
    <row r="1775" ht="22.5" customHeight="1">
      <c r="B1775" s="62"/>
      <c r="C1775" s="62"/>
      <c r="E1775" s="61"/>
    </row>
    <row r="1776" ht="22.5" customHeight="1">
      <c r="B1776" s="62"/>
      <c r="C1776" s="62"/>
      <c r="E1776" s="61"/>
    </row>
    <row r="1777" ht="22.5" customHeight="1">
      <c r="B1777" s="62"/>
      <c r="C1777" s="62"/>
      <c r="E1777" s="61"/>
    </row>
    <row r="1778" ht="22.5" customHeight="1">
      <c r="B1778" s="62"/>
      <c r="C1778" s="62"/>
      <c r="E1778" s="61"/>
    </row>
    <row r="1779" ht="22.5" customHeight="1">
      <c r="B1779" s="62"/>
      <c r="C1779" s="62"/>
      <c r="E1779" s="61"/>
    </row>
    <row r="1780" ht="22.5" customHeight="1">
      <c r="B1780" s="62"/>
      <c r="C1780" s="62"/>
      <c r="E1780" s="61"/>
    </row>
    <row r="1781" ht="22.5" customHeight="1">
      <c r="B1781" s="62"/>
      <c r="C1781" s="62"/>
      <c r="E1781" s="61"/>
    </row>
    <row r="1782" ht="22.5" customHeight="1">
      <c r="B1782" s="62"/>
      <c r="C1782" s="62"/>
      <c r="E1782" s="61"/>
    </row>
    <row r="1783" ht="22.5" customHeight="1">
      <c r="B1783" s="62"/>
      <c r="C1783" s="62"/>
      <c r="E1783" s="61"/>
    </row>
    <row r="1784" ht="22.5" customHeight="1">
      <c r="B1784" s="62"/>
      <c r="C1784" s="62"/>
      <c r="E1784" s="61"/>
    </row>
    <row r="1785" ht="22.5" customHeight="1">
      <c r="B1785" s="62"/>
      <c r="C1785" s="62"/>
      <c r="E1785" s="61"/>
    </row>
    <row r="1786" ht="22.5" customHeight="1">
      <c r="B1786" s="62"/>
      <c r="C1786" s="62"/>
      <c r="E1786" s="61"/>
    </row>
    <row r="1787" ht="22.5" customHeight="1">
      <c r="B1787" s="62"/>
      <c r="C1787" s="62"/>
      <c r="E1787" s="61"/>
    </row>
    <row r="1788" ht="22.5" customHeight="1">
      <c r="B1788" s="62"/>
      <c r="C1788" s="62"/>
      <c r="E1788" s="61"/>
    </row>
    <row r="1789" ht="22.5" customHeight="1">
      <c r="B1789" s="62"/>
      <c r="C1789" s="62"/>
      <c r="E1789" s="61"/>
    </row>
    <row r="1790" ht="22.5" customHeight="1">
      <c r="B1790" s="62"/>
      <c r="C1790" s="62"/>
      <c r="E1790" s="61"/>
    </row>
    <row r="1791" ht="22.5" customHeight="1">
      <c r="B1791" s="62"/>
      <c r="C1791" s="62"/>
      <c r="E1791" s="61"/>
    </row>
    <row r="1792" ht="22.5" customHeight="1">
      <c r="B1792" s="62"/>
      <c r="C1792" s="62"/>
      <c r="E1792" s="61"/>
    </row>
    <row r="1793" ht="22.5" customHeight="1">
      <c r="B1793" s="62"/>
      <c r="C1793" s="62"/>
      <c r="E1793" s="61"/>
    </row>
    <row r="1794" ht="22.5" customHeight="1">
      <c r="B1794" s="62"/>
      <c r="C1794" s="62"/>
      <c r="E1794" s="61"/>
    </row>
    <row r="1795" ht="22.5" customHeight="1">
      <c r="B1795" s="62"/>
      <c r="C1795" s="62"/>
      <c r="E1795" s="61"/>
    </row>
    <row r="1796" ht="22.5" customHeight="1">
      <c r="B1796" s="62"/>
      <c r="C1796" s="62"/>
      <c r="E1796" s="61"/>
    </row>
    <row r="1797" ht="22.5" customHeight="1">
      <c r="B1797" s="62"/>
      <c r="C1797" s="62"/>
      <c r="E1797" s="61"/>
    </row>
    <row r="1798" ht="22.5" customHeight="1">
      <c r="B1798" s="62"/>
      <c r="C1798" s="62"/>
      <c r="E1798" s="61"/>
    </row>
    <row r="1799" ht="22.5" customHeight="1">
      <c r="B1799" s="62"/>
      <c r="C1799" s="62"/>
      <c r="E1799" s="61"/>
    </row>
    <row r="1800" ht="22.5" customHeight="1">
      <c r="B1800" s="62"/>
      <c r="C1800" s="62"/>
      <c r="E1800" s="61"/>
    </row>
    <row r="1801" ht="22.5" customHeight="1">
      <c r="B1801" s="62"/>
      <c r="C1801" s="62"/>
      <c r="E1801" s="61"/>
    </row>
    <row r="1802" ht="22.5" customHeight="1">
      <c r="B1802" s="62"/>
      <c r="C1802" s="62"/>
      <c r="E1802" s="61"/>
    </row>
    <row r="1803" ht="22.5" customHeight="1">
      <c r="B1803" s="62"/>
      <c r="C1803" s="62"/>
      <c r="E1803" s="61"/>
    </row>
    <row r="1804" ht="22.5" customHeight="1">
      <c r="B1804" s="62"/>
      <c r="C1804" s="62"/>
      <c r="E1804" s="61"/>
    </row>
    <row r="1805" ht="22.5" customHeight="1">
      <c r="B1805" s="62"/>
      <c r="C1805" s="62"/>
      <c r="E1805" s="61"/>
    </row>
    <row r="1806" ht="22.5" customHeight="1">
      <c r="B1806" s="62"/>
      <c r="C1806" s="62"/>
      <c r="E1806" s="61"/>
    </row>
    <row r="1807" ht="22.5" customHeight="1">
      <c r="B1807" s="62"/>
      <c r="C1807" s="62"/>
      <c r="E1807" s="61"/>
    </row>
    <row r="1808" ht="22.5" customHeight="1">
      <c r="B1808" s="62"/>
      <c r="C1808" s="62"/>
      <c r="E1808" s="61"/>
    </row>
    <row r="1809" ht="22.5" customHeight="1">
      <c r="B1809" s="62"/>
      <c r="C1809" s="62"/>
      <c r="E1809" s="61"/>
    </row>
    <row r="1810" ht="22.5" customHeight="1">
      <c r="B1810" s="62"/>
      <c r="C1810" s="62"/>
      <c r="E1810" s="61"/>
    </row>
    <row r="1811" ht="22.5" customHeight="1">
      <c r="B1811" s="62"/>
      <c r="C1811" s="62"/>
      <c r="E1811" s="61"/>
    </row>
    <row r="1812" ht="22.5" customHeight="1">
      <c r="B1812" s="62"/>
      <c r="C1812" s="62"/>
      <c r="E1812" s="61"/>
    </row>
    <row r="1813" ht="22.5" customHeight="1">
      <c r="B1813" s="62"/>
      <c r="C1813" s="62"/>
      <c r="E1813" s="61"/>
    </row>
    <row r="1814" ht="22.5" customHeight="1">
      <c r="B1814" s="62"/>
      <c r="C1814" s="62"/>
      <c r="E1814" s="61"/>
    </row>
    <row r="1815" ht="22.5" customHeight="1">
      <c r="B1815" s="62"/>
      <c r="C1815" s="62"/>
      <c r="E1815" s="61"/>
    </row>
    <row r="1816" ht="22.5" customHeight="1">
      <c r="B1816" s="62"/>
      <c r="C1816" s="62"/>
      <c r="E1816" s="61"/>
    </row>
    <row r="1817" ht="22.5" customHeight="1">
      <c r="B1817" s="62"/>
      <c r="C1817" s="62"/>
      <c r="E1817" s="61"/>
    </row>
    <row r="1818" ht="22.5" customHeight="1">
      <c r="B1818" s="62"/>
      <c r="C1818" s="62"/>
      <c r="E1818" s="61"/>
    </row>
    <row r="1819" ht="22.5" customHeight="1">
      <c r="B1819" s="62"/>
      <c r="C1819" s="62"/>
      <c r="E1819" s="61"/>
    </row>
    <row r="1820" ht="22.5" customHeight="1">
      <c r="B1820" s="62"/>
      <c r="C1820" s="62"/>
      <c r="E1820" s="61"/>
    </row>
    <row r="1821" ht="22.5" customHeight="1">
      <c r="B1821" s="62"/>
      <c r="C1821" s="62"/>
      <c r="E1821" s="61"/>
    </row>
    <row r="1822" ht="22.5" customHeight="1">
      <c r="B1822" s="62"/>
      <c r="C1822" s="62"/>
      <c r="E1822" s="61"/>
    </row>
    <row r="1823" ht="22.5" customHeight="1">
      <c r="B1823" s="62"/>
      <c r="C1823" s="62"/>
      <c r="E1823" s="61"/>
    </row>
    <row r="1824" ht="22.5" customHeight="1">
      <c r="B1824" s="62"/>
      <c r="C1824" s="62"/>
      <c r="E1824" s="61"/>
    </row>
    <row r="1825" ht="22.5" customHeight="1">
      <c r="B1825" s="62"/>
      <c r="C1825" s="62"/>
      <c r="E1825" s="61"/>
    </row>
    <row r="1826" ht="22.5" customHeight="1">
      <c r="B1826" s="62"/>
      <c r="C1826" s="62"/>
      <c r="E1826" s="61"/>
    </row>
    <row r="1827" ht="22.5" customHeight="1">
      <c r="B1827" s="62"/>
      <c r="C1827" s="62"/>
      <c r="E1827" s="61"/>
    </row>
    <row r="1828" ht="22.5" customHeight="1">
      <c r="B1828" s="62"/>
      <c r="C1828" s="62"/>
      <c r="E1828" s="61"/>
    </row>
    <row r="1829" ht="22.5" customHeight="1">
      <c r="B1829" s="62"/>
      <c r="C1829" s="62"/>
      <c r="E1829" s="61"/>
    </row>
    <row r="1830" ht="22.5" customHeight="1">
      <c r="B1830" s="62"/>
      <c r="C1830" s="62"/>
      <c r="E1830" s="61"/>
    </row>
    <row r="1831" ht="22.5" customHeight="1">
      <c r="B1831" s="62"/>
      <c r="C1831" s="62"/>
      <c r="E1831" s="61"/>
    </row>
    <row r="1832" ht="22.5" customHeight="1">
      <c r="B1832" s="62"/>
      <c r="C1832" s="62"/>
      <c r="E1832" s="61"/>
    </row>
    <row r="1833" ht="22.5" customHeight="1">
      <c r="B1833" s="62"/>
      <c r="C1833" s="62"/>
      <c r="E1833" s="61"/>
    </row>
    <row r="1834" ht="22.5" customHeight="1">
      <c r="B1834" s="62"/>
      <c r="C1834" s="62"/>
      <c r="E1834" s="61"/>
    </row>
    <row r="1835" ht="22.5" customHeight="1">
      <c r="B1835" s="62"/>
      <c r="C1835" s="62"/>
      <c r="E1835" s="61"/>
    </row>
    <row r="1836" ht="22.5" customHeight="1">
      <c r="B1836" s="62"/>
      <c r="C1836" s="62"/>
      <c r="E1836" s="61"/>
    </row>
    <row r="1837" ht="22.5" customHeight="1">
      <c r="B1837" s="62"/>
      <c r="C1837" s="62"/>
      <c r="E1837" s="61"/>
    </row>
    <row r="1838" ht="22.5" customHeight="1">
      <c r="B1838" s="62"/>
      <c r="C1838" s="62"/>
      <c r="E1838" s="61"/>
    </row>
    <row r="1839" ht="22.5" customHeight="1">
      <c r="B1839" s="62"/>
      <c r="C1839" s="62"/>
      <c r="E1839" s="61"/>
    </row>
    <row r="1840" ht="22.5" customHeight="1">
      <c r="B1840" s="62"/>
      <c r="C1840" s="62"/>
      <c r="E1840" s="61"/>
    </row>
    <row r="1841" ht="22.5" customHeight="1">
      <c r="B1841" s="62"/>
      <c r="C1841" s="62"/>
      <c r="E1841" s="61"/>
    </row>
    <row r="1842" ht="22.5" customHeight="1">
      <c r="B1842" s="62"/>
      <c r="C1842" s="62"/>
      <c r="E1842" s="61"/>
    </row>
    <row r="1843" ht="22.5" customHeight="1">
      <c r="B1843" s="62"/>
      <c r="C1843" s="62"/>
      <c r="E1843" s="61"/>
    </row>
    <row r="1844" ht="22.5" customHeight="1">
      <c r="B1844" s="62"/>
      <c r="C1844" s="62"/>
      <c r="E1844" s="61"/>
    </row>
    <row r="1845" ht="22.5" customHeight="1">
      <c r="B1845" s="62"/>
      <c r="C1845" s="62"/>
      <c r="E1845" s="61"/>
    </row>
    <row r="1846" ht="22.5" customHeight="1">
      <c r="B1846" s="62"/>
      <c r="C1846" s="62"/>
      <c r="E1846" s="61"/>
    </row>
    <row r="1847" ht="22.5" customHeight="1">
      <c r="B1847" s="62"/>
      <c r="C1847" s="62"/>
      <c r="E1847" s="61"/>
    </row>
    <row r="1848" ht="22.5" customHeight="1">
      <c r="B1848" s="62"/>
      <c r="C1848" s="62"/>
      <c r="E1848" s="61"/>
    </row>
    <row r="1849" ht="22.5" customHeight="1">
      <c r="B1849" s="62"/>
      <c r="C1849" s="62"/>
      <c r="E1849" s="61"/>
    </row>
    <row r="1850" ht="22.5" customHeight="1">
      <c r="B1850" s="62"/>
      <c r="C1850" s="62"/>
      <c r="E1850" s="61"/>
    </row>
    <row r="1851" ht="22.5" customHeight="1">
      <c r="B1851" s="62"/>
      <c r="C1851" s="62"/>
      <c r="E1851" s="61"/>
    </row>
    <row r="1852" ht="22.5" customHeight="1">
      <c r="B1852" s="62"/>
      <c r="C1852" s="62"/>
      <c r="E1852" s="61"/>
    </row>
    <row r="1853" ht="22.5" customHeight="1">
      <c r="B1853" s="62"/>
      <c r="C1853" s="62"/>
      <c r="E1853" s="61"/>
    </row>
    <row r="1854" ht="22.5" customHeight="1">
      <c r="B1854" s="62"/>
      <c r="C1854" s="62"/>
      <c r="E1854" s="61"/>
    </row>
    <row r="1855" ht="22.5" customHeight="1">
      <c r="B1855" s="62"/>
      <c r="C1855" s="62"/>
      <c r="E1855" s="61"/>
    </row>
    <row r="1856" ht="22.5" customHeight="1">
      <c r="B1856" s="62"/>
      <c r="C1856" s="62"/>
      <c r="E1856" s="61"/>
    </row>
    <row r="1857" ht="22.5" customHeight="1">
      <c r="B1857" s="62"/>
      <c r="C1857" s="62"/>
      <c r="E1857" s="61"/>
    </row>
    <row r="1858" ht="22.5" customHeight="1">
      <c r="B1858" s="62"/>
      <c r="C1858" s="62"/>
      <c r="E1858" s="61"/>
    </row>
    <row r="1859" ht="22.5" customHeight="1">
      <c r="B1859" s="62"/>
      <c r="C1859" s="62"/>
      <c r="E1859" s="61"/>
    </row>
    <row r="1860" ht="22.5" customHeight="1">
      <c r="B1860" s="62"/>
      <c r="C1860" s="62"/>
      <c r="E1860" s="61"/>
    </row>
    <row r="1861" ht="22.5" customHeight="1">
      <c r="B1861" s="62"/>
      <c r="C1861" s="62"/>
      <c r="E1861" s="61"/>
    </row>
    <row r="1862" ht="22.5" customHeight="1">
      <c r="B1862" s="62"/>
      <c r="C1862" s="62"/>
      <c r="E1862" s="61"/>
    </row>
    <row r="1863" ht="22.5" customHeight="1">
      <c r="B1863" s="62"/>
      <c r="C1863" s="62"/>
      <c r="E1863" s="61"/>
    </row>
    <row r="1864" ht="22.5" customHeight="1">
      <c r="B1864" s="62"/>
      <c r="C1864" s="62"/>
      <c r="E1864" s="61"/>
    </row>
    <row r="1865" ht="22.5" customHeight="1">
      <c r="B1865" s="62"/>
      <c r="C1865" s="62"/>
      <c r="E1865" s="61"/>
    </row>
    <row r="1866" ht="22.5" customHeight="1">
      <c r="B1866" s="62"/>
      <c r="C1866" s="62"/>
      <c r="E1866" s="61"/>
    </row>
    <row r="1867" ht="22.5" customHeight="1">
      <c r="B1867" s="62"/>
      <c r="C1867" s="62"/>
      <c r="E1867" s="61"/>
    </row>
    <row r="1868" ht="22.5" customHeight="1">
      <c r="B1868" s="62"/>
      <c r="C1868" s="62"/>
      <c r="E1868" s="61"/>
    </row>
    <row r="1869" ht="22.5" customHeight="1">
      <c r="B1869" s="62"/>
      <c r="C1869" s="62"/>
      <c r="E1869" s="61"/>
    </row>
    <row r="1870" ht="22.5" customHeight="1">
      <c r="B1870" s="62"/>
      <c r="C1870" s="62"/>
      <c r="E1870" s="61"/>
    </row>
    <row r="1871" ht="22.5" customHeight="1">
      <c r="B1871" s="62"/>
      <c r="C1871" s="62"/>
      <c r="E1871" s="61"/>
    </row>
    <row r="1872" ht="22.5" customHeight="1">
      <c r="B1872" s="62"/>
      <c r="C1872" s="62"/>
      <c r="E1872" s="61"/>
    </row>
    <row r="1873" ht="22.5" customHeight="1">
      <c r="B1873" s="62"/>
      <c r="C1873" s="62"/>
      <c r="E1873" s="61"/>
    </row>
    <row r="1874" ht="22.5" customHeight="1">
      <c r="B1874" s="62"/>
      <c r="C1874" s="62"/>
      <c r="E1874" s="61"/>
    </row>
    <row r="1875" ht="22.5" customHeight="1">
      <c r="B1875" s="62"/>
      <c r="C1875" s="62"/>
      <c r="E1875" s="61"/>
    </row>
    <row r="1876" ht="22.5" customHeight="1">
      <c r="B1876" s="62"/>
      <c r="C1876" s="62"/>
      <c r="E1876" s="61"/>
    </row>
    <row r="1877" ht="22.5" customHeight="1">
      <c r="B1877" s="62"/>
      <c r="C1877" s="62"/>
      <c r="E1877" s="61"/>
    </row>
    <row r="1878" ht="22.5" customHeight="1">
      <c r="B1878" s="62"/>
      <c r="C1878" s="62"/>
      <c r="E1878" s="61"/>
    </row>
    <row r="1879" ht="22.5" customHeight="1">
      <c r="B1879" s="62"/>
      <c r="C1879" s="62"/>
      <c r="E1879" s="61"/>
    </row>
    <row r="1880" ht="22.5" customHeight="1">
      <c r="B1880" s="62"/>
      <c r="C1880" s="62"/>
      <c r="E1880" s="61"/>
    </row>
    <row r="1881" ht="22.5" customHeight="1">
      <c r="B1881" s="62"/>
      <c r="C1881" s="62"/>
      <c r="E1881" s="61"/>
    </row>
    <row r="1882" ht="22.5" customHeight="1">
      <c r="B1882" s="62"/>
      <c r="C1882" s="62"/>
      <c r="E1882" s="61"/>
    </row>
    <row r="1883" ht="22.5" customHeight="1">
      <c r="B1883" s="62"/>
      <c r="C1883" s="62"/>
      <c r="E1883" s="61"/>
    </row>
    <row r="1884" ht="22.5" customHeight="1">
      <c r="B1884" s="62"/>
      <c r="C1884" s="62"/>
      <c r="E1884" s="61"/>
    </row>
    <row r="1885" ht="22.5" customHeight="1">
      <c r="B1885" s="62"/>
      <c r="C1885" s="62"/>
      <c r="E1885" s="61"/>
    </row>
    <row r="1886" ht="22.5" customHeight="1">
      <c r="B1886" s="62"/>
      <c r="C1886" s="62"/>
      <c r="E1886" s="61"/>
    </row>
    <row r="1887" ht="22.5" customHeight="1">
      <c r="B1887" s="62"/>
      <c r="C1887" s="62"/>
      <c r="E1887" s="61"/>
    </row>
    <row r="1888" ht="22.5" customHeight="1">
      <c r="B1888" s="62"/>
      <c r="C1888" s="62"/>
      <c r="E1888" s="61"/>
    </row>
    <row r="1889" ht="22.5" customHeight="1">
      <c r="B1889" s="62"/>
      <c r="C1889" s="62"/>
      <c r="E1889" s="61"/>
    </row>
    <row r="1890" ht="22.5" customHeight="1">
      <c r="B1890" s="62"/>
      <c r="C1890" s="62"/>
      <c r="E1890" s="61"/>
    </row>
    <row r="1891" ht="22.5" customHeight="1">
      <c r="B1891" s="62"/>
      <c r="C1891" s="62"/>
      <c r="E1891" s="61"/>
    </row>
    <row r="1892" ht="22.5" customHeight="1">
      <c r="B1892" s="62"/>
      <c r="C1892" s="62"/>
      <c r="E1892" s="61"/>
    </row>
    <row r="1893" ht="22.5" customHeight="1">
      <c r="B1893" s="62"/>
      <c r="C1893" s="62"/>
      <c r="E1893" s="61"/>
    </row>
    <row r="1894" ht="22.5" customHeight="1">
      <c r="B1894" s="62"/>
      <c r="C1894" s="62"/>
      <c r="E1894" s="61"/>
    </row>
    <row r="1895" ht="22.5" customHeight="1">
      <c r="B1895" s="62"/>
      <c r="C1895" s="62"/>
      <c r="E1895" s="61"/>
    </row>
    <row r="1896" ht="22.5" customHeight="1">
      <c r="B1896" s="62"/>
      <c r="C1896" s="62"/>
      <c r="E1896" s="61"/>
    </row>
    <row r="1897" ht="22.5" customHeight="1">
      <c r="B1897" s="62"/>
      <c r="C1897" s="62"/>
      <c r="E1897" s="61"/>
    </row>
    <row r="1898" ht="22.5" customHeight="1">
      <c r="B1898" s="62"/>
      <c r="C1898" s="62"/>
      <c r="E1898" s="61"/>
    </row>
    <row r="1899" ht="22.5" customHeight="1">
      <c r="B1899" s="62"/>
      <c r="C1899" s="62"/>
      <c r="E1899" s="61"/>
    </row>
    <row r="1900" ht="22.5" customHeight="1">
      <c r="B1900" s="62"/>
      <c r="C1900" s="62"/>
      <c r="E1900" s="61"/>
    </row>
    <row r="1901" ht="22.5" customHeight="1">
      <c r="B1901" s="62"/>
      <c r="C1901" s="62"/>
      <c r="E1901" s="61"/>
    </row>
    <row r="1902" ht="22.5" customHeight="1">
      <c r="B1902" s="62"/>
      <c r="C1902" s="62"/>
      <c r="E1902" s="61"/>
    </row>
    <row r="1903" ht="22.5" customHeight="1">
      <c r="B1903" s="62"/>
      <c r="C1903" s="62"/>
      <c r="E1903" s="61"/>
    </row>
    <row r="1904" ht="22.5" customHeight="1">
      <c r="B1904" s="62"/>
      <c r="C1904" s="62"/>
      <c r="E1904" s="61"/>
    </row>
    <row r="1905" ht="22.5" customHeight="1">
      <c r="B1905" s="62"/>
      <c r="C1905" s="62"/>
      <c r="E1905" s="61"/>
    </row>
    <row r="1906" ht="22.5" customHeight="1">
      <c r="B1906" s="62"/>
      <c r="C1906" s="62"/>
      <c r="E1906" s="61"/>
    </row>
    <row r="1907" ht="22.5" customHeight="1">
      <c r="B1907" s="62"/>
      <c r="C1907" s="62"/>
      <c r="E1907" s="61"/>
    </row>
    <row r="1908" ht="22.5" customHeight="1">
      <c r="B1908" s="62"/>
      <c r="C1908" s="62"/>
      <c r="E1908" s="61"/>
    </row>
    <row r="1909" ht="22.5" customHeight="1">
      <c r="B1909" s="62"/>
      <c r="C1909" s="62"/>
      <c r="E1909" s="61"/>
    </row>
    <row r="1910" ht="22.5" customHeight="1">
      <c r="B1910" s="62"/>
      <c r="C1910" s="62"/>
      <c r="E1910" s="61"/>
    </row>
    <row r="1911" ht="22.5" customHeight="1">
      <c r="B1911" s="62"/>
      <c r="C1911" s="62"/>
      <c r="E1911" s="61"/>
    </row>
    <row r="1912" ht="22.5" customHeight="1">
      <c r="B1912" s="62"/>
      <c r="C1912" s="62"/>
      <c r="E1912" s="61"/>
    </row>
    <row r="1913" ht="22.5" customHeight="1">
      <c r="B1913" s="62"/>
      <c r="C1913" s="62"/>
      <c r="E1913" s="61"/>
    </row>
    <row r="1914" ht="22.5" customHeight="1">
      <c r="B1914" s="62"/>
      <c r="C1914" s="62"/>
      <c r="E1914" s="61"/>
    </row>
    <row r="1915" ht="22.5" customHeight="1">
      <c r="B1915" s="62"/>
      <c r="C1915" s="62"/>
      <c r="E1915" s="61"/>
    </row>
    <row r="1916" ht="22.5" customHeight="1">
      <c r="B1916" s="62"/>
      <c r="C1916" s="62"/>
      <c r="E1916" s="61"/>
    </row>
    <row r="1917" ht="22.5" customHeight="1">
      <c r="B1917" s="62"/>
      <c r="C1917" s="62"/>
      <c r="E1917" s="61"/>
    </row>
    <row r="1918" ht="22.5" customHeight="1">
      <c r="B1918" s="62"/>
      <c r="C1918" s="62"/>
      <c r="E1918" s="61"/>
    </row>
    <row r="1919" ht="22.5" customHeight="1">
      <c r="B1919" s="62"/>
      <c r="C1919" s="62"/>
      <c r="E1919" s="61"/>
    </row>
    <row r="1920" ht="22.5" customHeight="1">
      <c r="B1920" s="62"/>
      <c r="C1920" s="62"/>
      <c r="E1920" s="61"/>
    </row>
    <row r="1921" ht="22.5" customHeight="1">
      <c r="B1921" s="62"/>
      <c r="C1921" s="62"/>
      <c r="E1921" s="61"/>
    </row>
    <row r="1922" ht="22.5" customHeight="1">
      <c r="B1922" s="62"/>
      <c r="C1922" s="62"/>
      <c r="E1922" s="61"/>
    </row>
    <row r="1923" ht="22.5" customHeight="1">
      <c r="B1923" s="62"/>
      <c r="C1923" s="62"/>
      <c r="E1923" s="61"/>
    </row>
    <row r="1924" ht="22.5" customHeight="1">
      <c r="B1924" s="62"/>
      <c r="C1924" s="62"/>
      <c r="E1924" s="61"/>
    </row>
    <row r="1925" ht="22.5" customHeight="1">
      <c r="B1925" s="62"/>
      <c r="C1925" s="62"/>
      <c r="E1925" s="61"/>
    </row>
    <row r="1926" ht="22.5" customHeight="1">
      <c r="B1926" s="62"/>
      <c r="C1926" s="62"/>
      <c r="E1926" s="61"/>
    </row>
    <row r="1927" ht="22.5" customHeight="1">
      <c r="B1927" s="62"/>
      <c r="C1927" s="62"/>
      <c r="E1927" s="61"/>
    </row>
    <row r="1928" ht="22.5" customHeight="1">
      <c r="B1928" s="62"/>
      <c r="C1928" s="62"/>
      <c r="E1928" s="61"/>
    </row>
    <row r="1929" ht="22.5" customHeight="1">
      <c r="B1929" s="62"/>
      <c r="C1929" s="62"/>
      <c r="E1929" s="61"/>
    </row>
    <row r="1930" ht="22.5" customHeight="1">
      <c r="B1930" s="62"/>
      <c r="C1930" s="62"/>
      <c r="E1930" s="61"/>
    </row>
    <row r="1931" ht="22.5" customHeight="1">
      <c r="B1931" s="62"/>
      <c r="C1931" s="62"/>
      <c r="E1931" s="61"/>
    </row>
    <row r="1932" ht="22.5" customHeight="1">
      <c r="B1932" s="62"/>
      <c r="C1932" s="62"/>
      <c r="E1932" s="61"/>
    </row>
    <row r="1933" ht="22.5" customHeight="1">
      <c r="B1933" s="62"/>
      <c r="C1933" s="62"/>
      <c r="E1933" s="61"/>
    </row>
    <row r="1934" ht="22.5" customHeight="1">
      <c r="B1934" s="62"/>
      <c r="C1934" s="62"/>
      <c r="E1934" s="61"/>
    </row>
    <row r="1935" ht="22.5" customHeight="1">
      <c r="B1935" s="62"/>
      <c r="C1935" s="62"/>
      <c r="E1935" s="61"/>
    </row>
    <row r="1936" ht="22.5" customHeight="1">
      <c r="B1936" s="62"/>
      <c r="C1936" s="62"/>
      <c r="E1936" s="61"/>
    </row>
    <row r="1937" ht="22.5" customHeight="1">
      <c r="B1937" s="62"/>
      <c r="C1937" s="62"/>
      <c r="E1937" s="61"/>
    </row>
    <row r="1938" ht="22.5" customHeight="1">
      <c r="B1938" s="62"/>
      <c r="C1938" s="62"/>
      <c r="E1938" s="61"/>
    </row>
    <row r="1939" ht="22.5" customHeight="1">
      <c r="B1939" s="62"/>
      <c r="C1939" s="62"/>
      <c r="E1939" s="61"/>
    </row>
    <row r="1940" ht="22.5" customHeight="1">
      <c r="B1940" s="62"/>
      <c r="C1940" s="62"/>
      <c r="E1940" s="61"/>
    </row>
    <row r="1941" ht="22.5" customHeight="1">
      <c r="B1941" s="62"/>
      <c r="C1941" s="62"/>
      <c r="E1941" s="61"/>
    </row>
    <row r="1942" ht="22.5" customHeight="1">
      <c r="B1942" s="62"/>
      <c r="C1942" s="62"/>
      <c r="E1942" s="61"/>
    </row>
    <row r="1943" ht="22.5" customHeight="1">
      <c r="B1943" s="62"/>
      <c r="C1943" s="62"/>
      <c r="E1943" s="61"/>
    </row>
    <row r="1944" ht="22.5" customHeight="1">
      <c r="B1944" s="62"/>
      <c r="C1944" s="62"/>
      <c r="E1944" s="61"/>
    </row>
    <row r="1945" ht="22.5" customHeight="1">
      <c r="B1945" s="62"/>
      <c r="C1945" s="62"/>
      <c r="E1945" s="61"/>
    </row>
    <row r="1946" ht="22.5" customHeight="1">
      <c r="B1946" s="62"/>
      <c r="C1946" s="62"/>
      <c r="E1946" s="61"/>
    </row>
    <row r="1947" ht="22.5" customHeight="1">
      <c r="B1947" s="62"/>
      <c r="C1947" s="62"/>
      <c r="E1947" s="61"/>
    </row>
    <row r="1948" ht="22.5" customHeight="1">
      <c r="B1948" s="62"/>
      <c r="C1948" s="62"/>
      <c r="E1948" s="61"/>
    </row>
    <row r="1949" ht="22.5" customHeight="1">
      <c r="B1949" s="62"/>
      <c r="C1949" s="62"/>
      <c r="E1949" s="61"/>
    </row>
    <row r="1950" ht="22.5" customHeight="1">
      <c r="B1950" s="62"/>
      <c r="C1950" s="62"/>
      <c r="E1950" s="61"/>
    </row>
    <row r="1951" ht="22.5" customHeight="1">
      <c r="B1951" s="62"/>
      <c r="C1951" s="62"/>
      <c r="E1951" s="61"/>
    </row>
    <row r="1952" ht="22.5" customHeight="1">
      <c r="B1952" s="62"/>
      <c r="C1952" s="62"/>
      <c r="E1952" s="61"/>
    </row>
    <row r="1953" ht="22.5" customHeight="1">
      <c r="B1953" s="62"/>
      <c r="C1953" s="62"/>
      <c r="E1953" s="61"/>
    </row>
    <row r="1954" ht="22.5" customHeight="1">
      <c r="B1954" s="62"/>
      <c r="C1954" s="62"/>
      <c r="E1954" s="61"/>
    </row>
    <row r="1955" ht="22.5" customHeight="1">
      <c r="B1955" s="62"/>
      <c r="C1955" s="62"/>
      <c r="E1955" s="61"/>
    </row>
    <row r="1956" ht="22.5" customHeight="1">
      <c r="B1956" s="62"/>
      <c r="C1956" s="62"/>
      <c r="E1956" s="61"/>
    </row>
    <row r="1957" ht="22.5" customHeight="1">
      <c r="B1957" s="62"/>
      <c r="C1957" s="62"/>
      <c r="E1957" s="61"/>
    </row>
    <row r="1958" ht="22.5" customHeight="1">
      <c r="B1958" s="62"/>
      <c r="C1958" s="62"/>
      <c r="E1958" s="61"/>
    </row>
    <row r="1959" ht="22.5" customHeight="1">
      <c r="B1959" s="62"/>
      <c r="C1959" s="62"/>
      <c r="E1959" s="61"/>
    </row>
    <row r="1960" ht="22.5" customHeight="1">
      <c r="B1960" s="62"/>
      <c r="C1960" s="62"/>
      <c r="E1960" s="61"/>
    </row>
    <row r="1961" ht="22.5" customHeight="1">
      <c r="B1961" s="62"/>
      <c r="C1961" s="62"/>
      <c r="E1961" s="61"/>
    </row>
    <row r="1962" ht="22.5" customHeight="1">
      <c r="B1962" s="62"/>
      <c r="C1962" s="62"/>
      <c r="E1962" s="61"/>
    </row>
    <row r="1963" ht="22.5" customHeight="1">
      <c r="B1963" s="62"/>
      <c r="C1963" s="62"/>
      <c r="E1963" s="61"/>
    </row>
    <row r="1964" ht="22.5" customHeight="1">
      <c r="B1964" s="62"/>
      <c r="C1964" s="62"/>
      <c r="E1964" s="61"/>
    </row>
    <row r="1965" ht="22.5" customHeight="1">
      <c r="B1965" s="62"/>
      <c r="C1965" s="62"/>
      <c r="E1965" s="61"/>
    </row>
    <row r="1966" ht="22.5" customHeight="1">
      <c r="B1966" s="62"/>
      <c r="C1966" s="62"/>
      <c r="E1966" s="61"/>
    </row>
    <row r="1967" ht="22.5" customHeight="1">
      <c r="B1967" s="62"/>
      <c r="C1967" s="62"/>
      <c r="E1967" s="61"/>
    </row>
    <row r="1968" ht="22.5" customHeight="1">
      <c r="B1968" s="62"/>
      <c r="C1968" s="62"/>
      <c r="E1968" s="61"/>
    </row>
    <row r="1969" ht="22.5" customHeight="1">
      <c r="B1969" s="62"/>
      <c r="C1969" s="62"/>
      <c r="E1969" s="61"/>
    </row>
    <row r="1970" ht="22.5" customHeight="1">
      <c r="B1970" s="62"/>
      <c r="C1970" s="62"/>
      <c r="E1970" s="61"/>
    </row>
    <row r="1971" ht="22.5" customHeight="1">
      <c r="B1971" s="62"/>
      <c r="C1971" s="62"/>
      <c r="E1971" s="61"/>
    </row>
    <row r="1972" ht="22.5" customHeight="1">
      <c r="B1972" s="62"/>
      <c r="C1972" s="62"/>
      <c r="E1972" s="61"/>
    </row>
    <row r="1973" ht="22.5" customHeight="1">
      <c r="B1973" s="62"/>
      <c r="C1973" s="62"/>
      <c r="E1973" s="61"/>
    </row>
    <row r="1974" ht="22.5" customHeight="1">
      <c r="B1974" s="62"/>
      <c r="C1974" s="62"/>
      <c r="E1974" s="61"/>
    </row>
    <row r="1975" ht="22.5" customHeight="1">
      <c r="B1975" s="62"/>
      <c r="C1975" s="62"/>
      <c r="E1975" s="61"/>
    </row>
    <row r="1976" ht="22.5" customHeight="1">
      <c r="B1976" s="62"/>
      <c r="C1976" s="62"/>
      <c r="E1976" s="61"/>
    </row>
    <row r="1977" ht="22.5" customHeight="1">
      <c r="B1977" s="62"/>
      <c r="C1977" s="62"/>
      <c r="E1977" s="61"/>
    </row>
    <row r="1978" ht="22.5" customHeight="1">
      <c r="B1978" s="62"/>
      <c r="C1978" s="62"/>
      <c r="E1978" s="61"/>
    </row>
    <row r="1979" ht="22.5" customHeight="1">
      <c r="B1979" s="62"/>
      <c r="C1979" s="62"/>
      <c r="E1979" s="61"/>
    </row>
    <row r="1980" ht="22.5" customHeight="1">
      <c r="B1980" s="62"/>
      <c r="C1980" s="62"/>
      <c r="E1980" s="61"/>
    </row>
    <row r="1981" ht="22.5" customHeight="1">
      <c r="B1981" s="62"/>
      <c r="C1981" s="62"/>
      <c r="E1981" s="61"/>
    </row>
    <row r="1982" ht="22.5" customHeight="1">
      <c r="B1982" s="62"/>
      <c r="C1982" s="62"/>
      <c r="E1982" s="61"/>
    </row>
    <row r="1983" ht="22.5" customHeight="1">
      <c r="B1983" s="62"/>
      <c r="C1983" s="62"/>
      <c r="E1983" s="61"/>
    </row>
    <row r="1984" ht="22.5" customHeight="1">
      <c r="B1984" s="62"/>
      <c r="C1984" s="62"/>
      <c r="E1984" s="61"/>
    </row>
    <row r="1985" ht="22.5" customHeight="1">
      <c r="B1985" s="62"/>
      <c r="C1985" s="62"/>
      <c r="E1985" s="61"/>
    </row>
    <row r="1986" ht="22.5" customHeight="1">
      <c r="B1986" s="62"/>
      <c r="C1986" s="62"/>
      <c r="E1986" s="61"/>
    </row>
    <row r="1987" ht="22.5" customHeight="1">
      <c r="B1987" s="62"/>
      <c r="C1987" s="62"/>
      <c r="E1987" s="61"/>
    </row>
    <row r="1988" ht="22.5" customHeight="1">
      <c r="B1988" s="62"/>
      <c r="C1988" s="62"/>
      <c r="E1988" s="61"/>
    </row>
    <row r="1989" ht="22.5" customHeight="1">
      <c r="B1989" s="62"/>
      <c r="C1989" s="62"/>
      <c r="E1989" s="61"/>
    </row>
    <row r="1990" ht="22.5" customHeight="1">
      <c r="B1990" s="62"/>
      <c r="C1990" s="62"/>
      <c r="E1990" s="61"/>
    </row>
    <row r="1991" ht="22.5" customHeight="1">
      <c r="B1991" s="62"/>
      <c r="C1991" s="62"/>
      <c r="E1991" s="61"/>
    </row>
    <row r="1992" ht="22.5" customHeight="1">
      <c r="B1992" s="62"/>
      <c r="C1992" s="62"/>
      <c r="E1992" s="61"/>
    </row>
    <row r="1993" ht="22.5" customHeight="1">
      <c r="B1993" s="62"/>
      <c r="C1993" s="62"/>
      <c r="E1993" s="61"/>
    </row>
    <row r="1994" ht="22.5" customHeight="1">
      <c r="B1994" s="62"/>
      <c r="C1994" s="62"/>
      <c r="E1994" s="61"/>
    </row>
    <row r="1995" ht="22.5" customHeight="1">
      <c r="B1995" s="62"/>
      <c r="C1995" s="62"/>
      <c r="E1995" s="61"/>
    </row>
    <row r="1996" ht="22.5" customHeight="1">
      <c r="B1996" s="62"/>
      <c r="C1996" s="62"/>
      <c r="E1996" s="61"/>
    </row>
    <row r="1997" ht="22.5" customHeight="1">
      <c r="B1997" s="62"/>
      <c r="C1997" s="62"/>
      <c r="E1997" s="61"/>
    </row>
    <row r="1998" ht="22.5" customHeight="1">
      <c r="B1998" s="62"/>
      <c r="C1998" s="62"/>
      <c r="E1998" s="61"/>
    </row>
    <row r="1999" ht="22.5" customHeight="1">
      <c r="B1999" s="62"/>
      <c r="C1999" s="62"/>
      <c r="E1999" s="61"/>
    </row>
    <row r="2000" ht="22.5" customHeight="1">
      <c r="B2000" s="62"/>
      <c r="C2000" s="62"/>
      <c r="E2000" s="61"/>
    </row>
  </sheetData>
  <dataValidations>
    <dataValidation type="list" allowBlank="1" sqref="B2:B2000">
      <formula1>"ENTRADA,SAIDA,PERDA"</formula1>
    </dataValidation>
    <dataValidation type="list" allowBlank="1" sqref="C2:C2000">
      <formula1>"ML 5,CIS ,BHP,IF,COACH FOR METAS - CFM,FCIS,FOP,FPCH - CIS ASSESMENT,AGENDA CIS ,PODER DA AÇÃO,FOCO NA PRÁTICA,O PODER DA ALTA PERFORMANCE 16h,O PODER DA AUTORRESPONSABILIDADE 16h,MINDFULNESS,JOGOS EMPRESÁRIAIS,DECIFRE E INFLUENCIE PESSOAS,MASTER,AGENDA C"&amp;"IS,MINISTRANTES DE SUCESSO,TECNICAS EM VENDAS,COACHING PARA METAS,TEAM COACHING - VIVA SUA REAL IDENTIDADE,FGCPC- COMPANY,TEAM COACHING BUSINESS  - DULCE,TEAM COACHING - PODER DA AÇÃO,PODER DA AUTORESPONSABILIDADE,TEAM COACHING - PODER  E ALTA PERFORMANCE"&amp;",EDUCAR AMAR E DAR LIMITES,FCIS NOVA,O PODER DA AUTORRESPONSABILIDADE 8H,CHAVES DO PODER E AUTORRESPONSABILIDADE,PLANEJAMENTO ESTRATÉGICO+CADERNO,TERMOSTATO IF,PLANEJAMENTO ESTRATÉGICO+CADERNO NOVO,CADERNO BUSINESS ( VOLNEY),A AUTORIDADE DO CRENTE,PDA,MOL"&amp;"ESKINE DAY DULCE,SISTEMA AMAZON,O PODER DA ALTA PERFORMANCE 8h,IA PARA LIDRES,LIDERANÇA NA PRATICA ,ML5 NOVA"</formula1>
    </dataValidation>
    <dataValidation type="custom" allowBlank="1" showDropDown="1" sqref="E2:E200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18.0"/>
    <col customWidth="1" min="3" max="3" width="15.0"/>
    <col customWidth="1" min="4" max="4" width="22.25"/>
    <col customWidth="1" min="5" max="5" width="23.0"/>
  </cols>
  <sheetData>
    <row r="1">
      <c r="A1" s="1"/>
      <c r="B1" s="1"/>
      <c r="C1" s="1"/>
      <c r="D1" s="2" t="s">
        <v>1</v>
      </c>
      <c r="E1" s="6">
        <f>TODAY()</f>
        <v>46259</v>
      </c>
    </row>
    <row r="2">
      <c r="A2" s="9"/>
      <c r="B2" s="9"/>
      <c r="C2" s="9"/>
      <c r="D2" s="9"/>
      <c r="E2" s="11"/>
    </row>
    <row r="3" ht="22.5" customHeight="1">
      <c r="A3" s="15" t="s">
        <v>14</v>
      </c>
      <c r="B3" s="4" t="s">
        <v>18</v>
      </c>
      <c r="C3" s="4" t="s">
        <v>15</v>
      </c>
      <c r="D3" s="15" t="s">
        <v>10</v>
      </c>
      <c r="E3" s="15" t="s">
        <v>9</v>
      </c>
    </row>
    <row r="4" ht="22.5" customHeight="1">
      <c r="A4" s="35" t="str">
        <f t="array" ref="A4:A185">UNIQUE('Movimentação Estoque'!$C$2:$C1001)</f>
        <v>ALGODÃO</v>
      </c>
      <c r="B4" s="38">
        <f>SUMIFS('Movimentação Estoque'!$D:$D,'Movimentação Estoque'!$C:$C,A4,'Movimentação Estoque'!$B:$B,"ENTRADA")</f>
        <v>10</v>
      </c>
      <c r="C4" s="38">
        <f>SUMIFS('Movimentação Estoque'!$D:$D,'Movimentação Estoque'!$C:$C,A4,'Movimentação Estoque'!$B:$B,"SAIDA")</f>
        <v>3</v>
      </c>
      <c r="D4" s="39">
        <f t="shared" ref="D4:D240" si="1">B4-C4</f>
        <v>7</v>
      </c>
      <c r="E4" s="41" t="str">
        <f t="array" ref="E4">_xlfn.XLOOKUP('Movimentação Estoque'!C:C,E4,'Movimentação Estoque'!D:D,'Movimentação Estoque'!E:E,"UF")</f>
        <v>#VALUE!</v>
      </c>
    </row>
    <row r="5" ht="22.5" customHeight="1">
      <c r="A5" s="35" t="s">
        <v>25</v>
      </c>
      <c r="B5" s="38">
        <f>SUMIFS('Movimentação Estoque'!$D:$D,'Movimentação Estoque'!$C:$C,A5,'Movimentação Estoque'!$B:$B,"ENTRADA")</f>
        <v>4</v>
      </c>
      <c r="C5" s="38">
        <f>SUMIFS('Movimentação Estoque'!$D:$D,'Movimentação Estoque'!$C:$C,A5,'Movimentação Estoque'!$B:$B,"SAIDA")</f>
        <v>0</v>
      </c>
      <c r="D5" s="39">
        <f t="shared" si="1"/>
        <v>4</v>
      </c>
      <c r="E5" s="41"/>
    </row>
    <row r="6" ht="22.5" customHeight="1">
      <c r="A6" s="35" t="s">
        <v>28</v>
      </c>
      <c r="B6" s="38">
        <f>SUMIFS('Movimentação Estoque'!$D:$D,'Movimentação Estoque'!$C:$C,A6,'Movimentação Estoque'!$B:$B,"ENTRADA")</f>
        <v>1</v>
      </c>
      <c r="C6" s="38">
        <f>SUMIFS('Movimentação Estoque'!$D:$D,'Movimentação Estoque'!$C:$C,A6,'Movimentação Estoque'!$B:$B,"SAIDA")</f>
        <v>0</v>
      </c>
      <c r="D6" s="39">
        <f t="shared" si="1"/>
        <v>1</v>
      </c>
      <c r="E6" s="41" t="s">
        <v>19</v>
      </c>
    </row>
    <row r="7" ht="22.5" customHeight="1">
      <c r="A7" s="35" t="s">
        <v>30</v>
      </c>
      <c r="B7" s="38">
        <f>SUMIFS('Movimentação Estoque'!$D:$D,'Movimentação Estoque'!$C:$C,A7,'Movimentação Estoque'!$B:$B,"ENTRADA")</f>
        <v>1</v>
      </c>
      <c r="C7" s="38">
        <f>SUMIFS('Movimentação Estoque'!$D:$D,'Movimentação Estoque'!$C:$C,A7,'Movimentação Estoque'!$B:$B,"SAIDA")</f>
        <v>0</v>
      </c>
      <c r="D7" s="39">
        <f t="shared" si="1"/>
        <v>1</v>
      </c>
      <c r="E7" s="41" t="s">
        <v>19</v>
      </c>
    </row>
    <row r="8" ht="22.5" customHeight="1">
      <c r="A8" s="35" t="s">
        <v>32</v>
      </c>
      <c r="B8" s="38">
        <f>SUMIFS('Movimentação Estoque'!$D:$D,'Movimentação Estoque'!$C:$C,A8,'Movimentação Estoque'!$B:$B,"ENTRADA")</f>
        <v>29</v>
      </c>
      <c r="C8" s="38">
        <f>SUMIFS('Movimentação Estoque'!$D:$D,'Movimentação Estoque'!$C:$C,A8,'Movimentação Estoque'!$B:$B,"SAIDA")</f>
        <v>0</v>
      </c>
      <c r="D8" s="39">
        <f t="shared" si="1"/>
        <v>29</v>
      </c>
      <c r="E8" s="41" t="s">
        <v>19</v>
      </c>
    </row>
    <row r="9" ht="22.5" customHeight="1">
      <c r="A9" s="35" t="s">
        <v>34</v>
      </c>
      <c r="B9" s="38">
        <f>SUMIFS('Movimentação Estoque'!$D:$D,'Movimentação Estoque'!$C:$C,A9,'Movimentação Estoque'!$B:$B,"ENTRADA")</f>
        <v>6</v>
      </c>
      <c r="C9" s="38">
        <f>SUMIFS('Movimentação Estoque'!$D:$D,'Movimentação Estoque'!$C:$C,A9,'Movimentação Estoque'!$B:$B,"SAIDA")</f>
        <v>0</v>
      </c>
      <c r="D9" s="39">
        <f t="shared" si="1"/>
        <v>6</v>
      </c>
      <c r="E9" s="41" t="s">
        <v>19</v>
      </c>
    </row>
    <row r="10" ht="22.5" customHeight="1">
      <c r="A10" s="35" t="s">
        <v>35</v>
      </c>
      <c r="B10" s="38">
        <f>SUMIFS('Movimentação Estoque'!$D:$D,'Movimentação Estoque'!$C:$C,A10,'Movimentação Estoque'!$B:$B,"ENTRADA")</f>
        <v>1</v>
      </c>
      <c r="C10" s="38">
        <f>SUMIFS('Movimentação Estoque'!$D:$D,'Movimentação Estoque'!$C:$C,A10,'Movimentação Estoque'!$B:$B,"SAIDA")</f>
        <v>0</v>
      </c>
      <c r="D10" s="39">
        <f t="shared" si="1"/>
        <v>1</v>
      </c>
      <c r="E10" s="41" t="s">
        <v>19</v>
      </c>
    </row>
    <row r="11" ht="22.5" customHeight="1">
      <c r="A11" s="35" t="s">
        <v>37</v>
      </c>
      <c r="B11" s="38">
        <f>SUMIFS('Movimentação Estoque'!$D:$D,'Movimentação Estoque'!$C:$C,A11,'Movimentação Estoque'!$B:$B,"ENTRADA")</f>
        <v>1</v>
      </c>
      <c r="C11" s="38">
        <f>SUMIFS('Movimentação Estoque'!$D:$D,'Movimentação Estoque'!$C:$C,A11,'Movimentação Estoque'!$B:$B,"SAIDA")</f>
        <v>0</v>
      </c>
      <c r="D11" s="39">
        <f t="shared" si="1"/>
        <v>1</v>
      </c>
      <c r="E11" s="41" t="s">
        <v>19</v>
      </c>
    </row>
    <row r="12" ht="22.5" customHeight="1">
      <c r="A12" s="35" t="s">
        <v>39</v>
      </c>
      <c r="B12" s="38">
        <f>SUMIFS('Movimentação Estoque'!$D:$D,'Movimentação Estoque'!$C:$C,A12,'Movimentação Estoque'!$B:$B,"ENTRADA")</f>
        <v>40</v>
      </c>
      <c r="C12" s="38">
        <f>SUMIFS('Movimentação Estoque'!$D:$D,'Movimentação Estoque'!$C:$C,A12,'Movimentação Estoque'!$B:$B,"SAIDA")</f>
        <v>18</v>
      </c>
      <c r="D12" s="39">
        <f t="shared" si="1"/>
        <v>22</v>
      </c>
      <c r="E12" s="41" t="s">
        <v>19</v>
      </c>
    </row>
    <row r="13" ht="22.5" customHeight="1">
      <c r="A13" s="35" t="s">
        <v>41</v>
      </c>
      <c r="B13" s="38">
        <f>SUMIFS('Movimentação Estoque'!$D:$D,'Movimentação Estoque'!$C:$C,A13,'Movimentação Estoque'!$B:$B,"ENTRADA")</f>
        <v>41</v>
      </c>
      <c r="C13" s="38">
        <f>SUMIFS('Movimentação Estoque'!$D:$D,'Movimentação Estoque'!$C:$C,A13,'Movimentação Estoque'!$B:$B,"SAIDA")</f>
        <v>33</v>
      </c>
      <c r="D13" s="39">
        <f t="shared" si="1"/>
        <v>8</v>
      </c>
      <c r="E13" s="41" t="s">
        <v>19</v>
      </c>
    </row>
    <row r="14" ht="22.5" customHeight="1">
      <c r="A14" s="35" t="s">
        <v>42</v>
      </c>
      <c r="B14" s="38">
        <f>SUMIFS('Movimentação Estoque'!$D:$D,'Movimentação Estoque'!$C:$C,A14,'Movimentação Estoque'!$B:$B,"ENTRADA")</f>
        <v>308</v>
      </c>
      <c r="C14" s="38">
        <f>SUMIFS('Movimentação Estoque'!$D:$D,'Movimentação Estoque'!$C:$C,A14,'Movimentação Estoque'!$B:$B,"SAIDA")</f>
        <v>240</v>
      </c>
      <c r="D14" s="39">
        <f t="shared" si="1"/>
        <v>68</v>
      </c>
      <c r="E14" s="41"/>
    </row>
    <row r="15" ht="22.5" customHeight="1">
      <c r="A15" s="35" t="s">
        <v>43</v>
      </c>
      <c r="B15" s="38">
        <f>SUMIFS('Movimentação Estoque'!$D:$D,'Movimentação Estoque'!$C:$C,A15,'Movimentação Estoque'!$B:$B,"ENTRADA")</f>
        <v>24</v>
      </c>
      <c r="C15" s="38">
        <f>SUMIFS('Movimentação Estoque'!$D:$D,'Movimentação Estoque'!$C:$C,A15,'Movimentação Estoque'!$B:$B,"SAIDA")</f>
        <v>0</v>
      </c>
      <c r="D15" s="39">
        <f t="shared" si="1"/>
        <v>24</v>
      </c>
      <c r="E15" s="41" t="s">
        <v>45</v>
      </c>
    </row>
    <row r="16" ht="22.5" customHeight="1">
      <c r="A16" s="35" t="s">
        <v>46</v>
      </c>
      <c r="B16" s="38">
        <f>SUMIFS('Movimentação Estoque'!$D:$D,'Movimentação Estoque'!$C:$C,A16,'Movimentação Estoque'!$B:$B,"ENTRADA")</f>
        <v>368</v>
      </c>
      <c r="C16" s="38">
        <f>SUMIFS('Movimentação Estoque'!$D:$D,'Movimentação Estoque'!$C:$C,A16,'Movimentação Estoque'!$B:$B,"SAIDA")</f>
        <v>338</v>
      </c>
      <c r="D16" s="39">
        <f t="shared" si="1"/>
        <v>30</v>
      </c>
      <c r="E16" s="41" t="s">
        <v>19</v>
      </c>
    </row>
    <row r="17" ht="22.5" customHeight="1">
      <c r="A17" s="35" t="s">
        <v>47</v>
      </c>
      <c r="B17" s="38">
        <f>SUMIFS('Movimentação Estoque'!$D:$D,'Movimentação Estoque'!$C:$C,A17,'Movimentação Estoque'!$B:$B,"ENTRADA")</f>
        <v>0</v>
      </c>
      <c r="C17" s="38">
        <f>SUMIFS('Movimentação Estoque'!$D:$D,'Movimentação Estoque'!$C:$C,A17,'Movimentação Estoque'!$B:$B,"SAIDA")</f>
        <v>10</v>
      </c>
      <c r="D17" s="39">
        <f t="shared" si="1"/>
        <v>-10</v>
      </c>
      <c r="E17" s="41" t="s">
        <v>19</v>
      </c>
    </row>
    <row r="18" ht="22.5" customHeight="1">
      <c r="A18" s="35" t="s">
        <v>48</v>
      </c>
      <c r="B18" s="38">
        <f>SUMIFS('Movimentação Estoque'!$D:$D,'Movimentação Estoque'!$C:$C,A18,'Movimentação Estoque'!$B:$B,"ENTRADA")</f>
        <v>10</v>
      </c>
      <c r="C18" s="38">
        <f>SUMIFS('Movimentação Estoque'!$D:$D,'Movimentação Estoque'!$C:$C,A18,'Movimentação Estoque'!$B:$B,"SAIDA")</f>
        <v>0</v>
      </c>
      <c r="D18" s="39">
        <f t="shared" si="1"/>
        <v>10</v>
      </c>
      <c r="E18" s="41" t="s">
        <v>19</v>
      </c>
    </row>
    <row r="19" ht="22.5" customHeight="1">
      <c r="A19" s="35" t="s">
        <v>50</v>
      </c>
      <c r="B19" s="38">
        <f>SUMIFS('Movimentação Estoque'!$D:$D,'Movimentação Estoque'!$C:$C,A19,'Movimentação Estoque'!$B:$B,"ENTRADA")</f>
        <v>0</v>
      </c>
      <c r="C19" s="38">
        <f>SUMIFS('Movimentação Estoque'!$D:$D,'Movimentação Estoque'!$C:$C,A19,'Movimentação Estoque'!$B:$B,"SAIDA")</f>
        <v>2</v>
      </c>
      <c r="D19" s="39">
        <f t="shared" si="1"/>
        <v>-2</v>
      </c>
      <c r="E19" s="41" t="s">
        <v>19</v>
      </c>
    </row>
    <row r="20" ht="22.5" customHeight="1">
      <c r="A20" s="35" t="s">
        <v>51</v>
      </c>
      <c r="B20" s="38">
        <f>SUMIFS('Movimentação Estoque'!$D:$D,'Movimentação Estoque'!$C:$C,A20,'Movimentação Estoque'!$B:$B,"ENTRADA")</f>
        <v>2</v>
      </c>
      <c r="C20" s="38">
        <f>SUMIFS('Movimentação Estoque'!$D:$D,'Movimentação Estoque'!$C:$C,A20,'Movimentação Estoque'!$B:$B,"SAIDA")</f>
        <v>0</v>
      </c>
      <c r="D20" s="39">
        <f t="shared" si="1"/>
        <v>2</v>
      </c>
      <c r="E20" s="41" t="s">
        <v>19</v>
      </c>
    </row>
    <row r="21" ht="22.5" customHeight="1">
      <c r="A21" s="35" t="s">
        <v>53</v>
      </c>
      <c r="B21" s="38">
        <f>SUMIFS('Movimentação Estoque'!$D:$D,'Movimentação Estoque'!$C:$C,A21,'Movimentação Estoque'!$B:$B,"ENTRADA")</f>
        <v>16</v>
      </c>
      <c r="C21" s="38">
        <f>SUMIFS('Movimentação Estoque'!$D:$D,'Movimentação Estoque'!$C:$C,A21,'Movimentação Estoque'!$B:$B,"SAIDA")</f>
        <v>0</v>
      </c>
      <c r="D21" s="39">
        <f t="shared" si="1"/>
        <v>16</v>
      </c>
      <c r="E21" s="41" t="s">
        <v>19</v>
      </c>
    </row>
    <row r="22" ht="22.5" customHeight="1">
      <c r="A22" s="35" t="s">
        <v>54</v>
      </c>
      <c r="B22" s="38">
        <f>SUMIFS('Movimentação Estoque'!$D:$D,'Movimentação Estoque'!$C:$C,A22,'Movimentação Estoque'!$B:$B,"ENTRADA")</f>
        <v>55</v>
      </c>
      <c r="C22" s="38">
        <f>SUMIFS('Movimentação Estoque'!$D:$D,'Movimentação Estoque'!$C:$C,A22,'Movimentação Estoque'!$B:$B,"SAIDA")</f>
        <v>31</v>
      </c>
      <c r="D22" s="39">
        <f t="shared" si="1"/>
        <v>24</v>
      </c>
      <c r="E22" s="41" t="s">
        <v>19</v>
      </c>
    </row>
    <row r="23" ht="22.5" customHeight="1">
      <c r="A23" s="35" t="s">
        <v>56</v>
      </c>
      <c r="B23" s="38">
        <f>SUMIFS('Movimentação Estoque'!$D:$D,'Movimentação Estoque'!$C:$C,A23,'Movimentação Estoque'!$B:$B,"ENTRADA")</f>
        <v>6</v>
      </c>
      <c r="C23" s="38">
        <f>SUMIFS('Movimentação Estoque'!$D:$D,'Movimentação Estoque'!$C:$C,A23,'Movimentação Estoque'!$B:$B,"SAIDA")</f>
        <v>0</v>
      </c>
      <c r="D23" s="39">
        <f t="shared" si="1"/>
        <v>6</v>
      </c>
      <c r="E23" s="41" t="s">
        <v>19</v>
      </c>
    </row>
    <row r="24" ht="22.5" customHeight="1">
      <c r="A24" s="35" t="s">
        <v>57</v>
      </c>
      <c r="B24" s="38">
        <f>SUMIFS('Movimentação Estoque'!$D:$D,'Movimentação Estoque'!$C:$C,A24,'Movimentação Estoque'!$B:$B,"ENTRADA")</f>
        <v>8</v>
      </c>
      <c r="C24" s="38">
        <f>SUMIFS('Movimentação Estoque'!$D:$D,'Movimentação Estoque'!$C:$C,A24,'Movimentação Estoque'!$B:$B,"SAIDA")</f>
        <v>0</v>
      </c>
      <c r="D24" s="39">
        <f t="shared" si="1"/>
        <v>8</v>
      </c>
      <c r="E24" s="41" t="s">
        <v>19</v>
      </c>
    </row>
    <row r="25" ht="22.5" customHeight="1">
      <c r="A25" s="35" t="s">
        <v>59</v>
      </c>
      <c r="B25" s="38">
        <f>SUMIFS('Movimentação Estoque'!$D:$D,'Movimentação Estoque'!$C:$C,A25,'Movimentação Estoque'!$B:$B,"ENTRADA")</f>
        <v>13</v>
      </c>
      <c r="C25" s="38">
        <f>SUMIFS('Movimentação Estoque'!$D:$D,'Movimentação Estoque'!$C:$C,A25,'Movimentação Estoque'!$B:$B,"SAIDA")</f>
        <v>0</v>
      </c>
      <c r="D25" s="39">
        <f t="shared" si="1"/>
        <v>13</v>
      </c>
      <c r="E25" s="41" t="s">
        <v>19</v>
      </c>
    </row>
    <row r="26" ht="22.5" customHeight="1">
      <c r="A26" s="35" t="s">
        <v>60</v>
      </c>
      <c r="B26" s="38">
        <f>SUMIFS('Movimentação Estoque'!$D:$D,'Movimentação Estoque'!$C:$C,A26,'Movimentação Estoque'!$B:$B,"ENTRADA")</f>
        <v>1</v>
      </c>
      <c r="C26" s="38">
        <f>SUMIFS('Movimentação Estoque'!$D:$D,'Movimentação Estoque'!$C:$C,A26,'Movimentação Estoque'!$B:$B,"SAIDA")</f>
        <v>0</v>
      </c>
      <c r="D26" s="39">
        <f t="shared" si="1"/>
        <v>1</v>
      </c>
      <c r="E26" s="41" t="s">
        <v>19</v>
      </c>
    </row>
    <row r="27" ht="22.5" customHeight="1">
      <c r="A27" s="35" t="s">
        <v>62</v>
      </c>
      <c r="B27" s="38">
        <f>SUMIFS('Movimentação Estoque'!$D:$D,'Movimentação Estoque'!$C:$C,A27,'Movimentação Estoque'!$B:$B,"ENTRADA")</f>
        <v>6</v>
      </c>
      <c r="C27" s="38">
        <f>SUMIFS('Movimentação Estoque'!$D:$D,'Movimentação Estoque'!$C:$C,A27,'Movimentação Estoque'!$B:$B,"SAIDA")</f>
        <v>0</v>
      </c>
      <c r="D27" s="39">
        <f t="shared" si="1"/>
        <v>6</v>
      </c>
      <c r="E27" s="41" t="s">
        <v>19</v>
      </c>
    </row>
    <row r="28" ht="22.5" customHeight="1">
      <c r="A28" s="35" t="s">
        <v>63</v>
      </c>
      <c r="B28" s="38">
        <f>SUMIFS('Movimentação Estoque'!$D:$D,'Movimentação Estoque'!$C:$C,A28,'Movimentação Estoque'!$B:$B,"ENTRADA")</f>
        <v>30</v>
      </c>
      <c r="C28" s="38">
        <f>SUMIFS('Movimentação Estoque'!$D:$D,'Movimentação Estoque'!$C:$C,A28,'Movimentação Estoque'!$B:$B,"SAIDA")</f>
        <v>15</v>
      </c>
      <c r="D28" s="39">
        <f t="shared" si="1"/>
        <v>15</v>
      </c>
      <c r="E28" s="41" t="s">
        <v>19</v>
      </c>
    </row>
    <row r="29" ht="22.5" customHeight="1">
      <c r="A29" s="35" t="s">
        <v>65</v>
      </c>
      <c r="B29" s="38">
        <f>SUMIFS('Movimentação Estoque'!$D:$D,'Movimentação Estoque'!$C:$C,A29,'Movimentação Estoque'!$B:$B,"ENTRADA")</f>
        <v>1</v>
      </c>
      <c r="C29" s="38">
        <f>SUMIFS('Movimentação Estoque'!$D:$D,'Movimentação Estoque'!$C:$C,A29,'Movimentação Estoque'!$B:$B,"SAIDA")</f>
        <v>0</v>
      </c>
      <c r="D29" s="39">
        <f t="shared" si="1"/>
        <v>1</v>
      </c>
      <c r="E29" s="41" t="s">
        <v>19</v>
      </c>
    </row>
    <row r="30" ht="22.5" customHeight="1">
      <c r="A30" s="35" t="s">
        <v>67</v>
      </c>
      <c r="B30" s="38">
        <f>SUMIFS('Movimentação Estoque'!$D:$D,'Movimentação Estoque'!$C:$C,A30,'Movimentação Estoque'!$B:$B,"ENTRADA")</f>
        <v>30</v>
      </c>
      <c r="C30" s="38">
        <f>SUMIFS('Movimentação Estoque'!$D:$D,'Movimentação Estoque'!$C:$C,A30,'Movimentação Estoque'!$B:$B,"SAIDA")</f>
        <v>30</v>
      </c>
      <c r="D30" s="39">
        <f t="shared" si="1"/>
        <v>0</v>
      </c>
      <c r="E30" s="41" t="s">
        <v>19</v>
      </c>
    </row>
    <row r="31" ht="22.5" customHeight="1">
      <c r="A31" s="35" t="s">
        <v>68</v>
      </c>
      <c r="B31" s="38">
        <f>SUMIFS('Movimentação Estoque'!$D:$D,'Movimentação Estoque'!$C:$C,A31,'Movimentação Estoque'!$B:$B,"ENTRADA")</f>
        <v>2</v>
      </c>
      <c r="C31" s="38">
        <f>SUMIFS('Movimentação Estoque'!$D:$D,'Movimentação Estoque'!$C:$C,A31,'Movimentação Estoque'!$B:$B,"SAIDA")</f>
        <v>0</v>
      </c>
      <c r="D31" s="39">
        <f t="shared" si="1"/>
        <v>2</v>
      </c>
      <c r="E31" s="41" t="s">
        <v>19</v>
      </c>
    </row>
    <row r="32" ht="22.5" customHeight="1">
      <c r="A32" s="35" t="s">
        <v>71</v>
      </c>
      <c r="B32" s="38">
        <f>SUMIFS('Movimentação Estoque'!$D:$D,'Movimentação Estoque'!$C:$C,A32,'Movimentação Estoque'!$B:$B,"ENTRADA")</f>
        <v>14</v>
      </c>
      <c r="C32" s="38">
        <f>SUMIFS('Movimentação Estoque'!$D:$D,'Movimentação Estoque'!$C:$C,A32,'Movimentação Estoque'!$B:$B,"SAIDA")</f>
        <v>1</v>
      </c>
      <c r="D32" s="39">
        <f t="shared" si="1"/>
        <v>13</v>
      </c>
      <c r="E32" s="41" t="s">
        <v>19</v>
      </c>
    </row>
    <row r="33" ht="22.5" customHeight="1">
      <c r="A33" s="35" t="s">
        <v>72</v>
      </c>
      <c r="B33" s="38">
        <f>SUMIFS('Movimentação Estoque'!$D:$D,'Movimentação Estoque'!$C:$C,A33,'Movimentação Estoque'!$B:$B,"ENTRADA")</f>
        <v>51</v>
      </c>
      <c r="C33" s="38">
        <f>SUMIFS('Movimentação Estoque'!$D:$D,'Movimentação Estoque'!$C:$C,A33,'Movimentação Estoque'!$B:$B,"SAIDA")</f>
        <v>48</v>
      </c>
      <c r="D33" s="39">
        <f t="shared" si="1"/>
        <v>3</v>
      </c>
      <c r="E33" s="41" t="s">
        <v>19</v>
      </c>
    </row>
    <row r="34" ht="22.5" customHeight="1">
      <c r="A34" s="35" t="s">
        <v>74</v>
      </c>
      <c r="B34" s="38">
        <f>SUMIFS('Movimentação Estoque'!$D:$D,'Movimentação Estoque'!$C:$C,A34,'Movimentação Estoque'!$B:$B,"ENTRADA")</f>
        <v>15</v>
      </c>
      <c r="C34" s="38">
        <f>SUMIFS('Movimentação Estoque'!$D:$D,'Movimentação Estoque'!$C:$C,A34,'Movimentação Estoque'!$B:$B,"SAIDA")</f>
        <v>11</v>
      </c>
      <c r="D34" s="39">
        <f t="shared" si="1"/>
        <v>4</v>
      </c>
      <c r="E34" s="41" t="s">
        <v>19</v>
      </c>
    </row>
    <row r="35" ht="22.5" customHeight="1">
      <c r="A35" s="35" t="s">
        <v>75</v>
      </c>
      <c r="B35" s="38">
        <f>SUMIFS('Movimentação Estoque'!$D:$D,'Movimentação Estoque'!$C:$C,A35,'Movimentação Estoque'!$B:$B,"ENTRADA")</f>
        <v>4</v>
      </c>
      <c r="C35" s="38">
        <f>SUMIFS('Movimentação Estoque'!$D:$D,'Movimentação Estoque'!$C:$C,A35,'Movimentação Estoque'!$B:$B,"SAIDA")</f>
        <v>1</v>
      </c>
      <c r="D35" s="39">
        <f t="shared" si="1"/>
        <v>3</v>
      </c>
      <c r="E35" s="41" t="s">
        <v>19</v>
      </c>
    </row>
    <row r="36" ht="22.5" customHeight="1">
      <c r="A36" s="35" t="s">
        <v>77</v>
      </c>
      <c r="B36" s="38">
        <f>SUMIFS('Movimentação Estoque'!$D:$D,'Movimentação Estoque'!$C:$C,A36,'Movimentação Estoque'!$B:$B,"ENTRADA")</f>
        <v>239</v>
      </c>
      <c r="C36" s="38">
        <f>SUMIFS('Movimentação Estoque'!$D:$D,'Movimentação Estoque'!$C:$C,A36,'Movimentação Estoque'!$B:$B,"SAIDA")</f>
        <v>151</v>
      </c>
      <c r="D36" s="39">
        <f t="shared" si="1"/>
        <v>88</v>
      </c>
      <c r="E36" s="41" t="s">
        <v>78</v>
      </c>
    </row>
    <row r="37" ht="22.5" customHeight="1">
      <c r="A37" s="35" t="s">
        <v>79</v>
      </c>
      <c r="B37" s="38">
        <f>SUMIFS('Movimentação Estoque'!$D:$D,'Movimentação Estoque'!$C:$C,A37,'Movimentação Estoque'!$B:$B,"ENTRADA")</f>
        <v>19</v>
      </c>
      <c r="C37" s="38">
        <f>SUMIFS('Movimentação Estoque'!$D:$D,'Movimentação Estoque'!$C:$C,A37,'Movimentação Estoque'!$B:$B,"SAIDA")</f>
        <v>19</v>
      </c>
      <c r="D37" s="39">
        <f t="shared" si="1"/>
        <v>0</v>
      </c>
      <c r="E37" s="41" t="s">
        <v>19</v>
      </c>
    </row>
    <row r="38" ht="22.5" customHeight="1">
      <c r="A38" s="35" t="s">
        <v>81</v>
      </c>
      <c r="B38" s="38">
        <f>SUMIFS('Movimentação Estoque'!$D:$D,'Movimentação Estoque'!$C:$C,A38,'Movimentação Estoque'!$B:$B,"ENTRADA")</f>
        <v>7</v>
      </c>
      <c r="C38" s="38">
        <f>SUMIFS('Movimentação Estoque'!$D:$D,'Movimentação Estoque'!$C:$C,A38,'Movimentação Estoque'!$B:$B,"SAIDA")</f>
        <v>0</v>
      </c>
      <c r="D38" s="39">
        <f t="shared" si="1"/>
        <v>7</v>
      </c>
      <c r="E38" s="41" t="s">
        <v>19</v>
      </c>
    </row>
    <row r="39" ht="22.5" customHeight="1">
      <c r="A39" s="35" t="s">
        <v>82</v>
      </c>
      <c r="B39" s="38">
        <f>SUMIFS('Movimentação Estoque'!$D:$D,'Movimentação Estoque'!$C:$C,A39,'Movimentação Estoque'!$B:$B,"ENTRADA")</f>
        <v>18</v>
      </c>
      <c r="C39" s="38">
        <f>SUMIFS('Movimentação Estoque'!$D:$D,'Movimentação Estoque'!$C:$C,A39,'Movimentação Estoque'!$B:$B,"SAIDA")</f>
        <v>5</v>
      </c>
      <c r="D39" s="39">
        <f t="shared" si="1"/>
        <v>13</v>
      </c>
      <c r="E39" s="41" t="s">
        <v>19</v>
      </c>
    </row>
    <row r="40" ht="22.5" customHeight="1">
      <c r="A40" s="35" t="s">
        <v>84</v>
      </c>
      <c r="B40" s="38">
        <f>SUMIFS('Movimentação Estoque'!$D:$D,'Movimentação Estoque'!$C:$C,A40,'Movimentação Estoque'!$B:$B,"ENTRADA")</f>
        <v>7</v>
      </c>
      <c r="C40" s="38">
        <f>SUMIFS('Movimentação Estoque'!$D:$D,'Movimentação Estoque'!$C:$C,A40,'Movimentação Estoque'!$B:$B,"SAIDA")</f>
        <v>4</v>
      </c>
      <c r="D40" s="39">
        <f t="shared" si="1"/>
        <v>3</v>
      </c>
      <c r="E40" s="44" t="s">
        <v>19</v>
      </c>
    </row>
    <row r="41" ht="22.5" customHeight="1">
      <c r="A41" s="35" t="s">
        <v>86</v>
      </c>
      <c r="B41" s="38">
        <f>SUMIFS('Movimentação Estoque'!$D:$D,'Movimentação Estoque'!$C:$C,A41,'Movimentação Estoque'!$B:$B,"ENTRADA")</f>
        <v>27</v>
      </c>
      <c r="C41" s="38">
        <f>SUMIFS('Movimentação Estoque'!$D:$D,'Movimentação Estoque'!$C:$C,A41,'Movimentação Estoque'!$B:$B,"SAIDA")</f>
        <v>16</v>
      </c>
      <c r="D41" s="39">
        <f t="shared" si="1"/>
        <v>11</v>
      </c>
      <c r="E41" s="44" t="s">
        <v>19</v>
      </c>
    </row>
    <row r="42" ht="22.5" customHeight="1">
      <c r="A42" s="45" t="s">
        <v>87</v>
      </c>
      <c r="B42" s="38">
        <f>SUMIFS('Movimentação Estoque'!$D:$D,'Movimentação Estoque'!$C:$C,A42,'Movimentação Estoque'!$B:$B,"ENTRADA")</f>
        <v>54</v>
      </c>
      <c r="C42" s="38">
        <f>SUMIFS('Movimentação Estoque'!$D:$D,'Movimentação Estoque'!$C:$C,A42,'Movimentação Estoque'!$B:$B,"SAIDA")</f>
        <v>31</v>
      </c>
      <c r="D42" s="39">
        <f t="shared" si="1"/>
        <v>23</v>
      </c>
      <c r="E42" s="44" t="s">
        <v>19</v>
      </c>
    </row>
    <row r="43" ht="22.5" customHeight="1">
      <c r="A43" s="45" t="s">
        <v>89</v>
      </c>
      <c r="B43" s="38">
        <f>SUMIFS('Movimentação Estoque'!$D:$D,'Movimentação Estoque'!$C:$C,A43,'Movimentação Estoque'!$B:$B,"ENTRADA")</f>
        <v>38</v>
      </c>
      <c r="C43" s="38">
        <f>SUMIFS('Movimentação Estoque'!$D:$D,'Movimentação Estoque'!$C:$C,A43,'Movimentação Estoque'!$B:$B,"SAIDA")</f>
        <v>0</v>
      </c>
      <c r="D43" s="39">
        <f t="shared" si="1"/>
        <v>38</v>
      </c>
      <c r="E43" s="44" t="s">
        <v>19</v>
      </c>
    </row>
    <row r="44" ht="22.5" customHeight="1">
      <c r="A44" s="45" t="s">
        <v>91</v>
      </c>
      <c r="B44" s="38">
        <f>SUMIFS('Movimentação Estoque'!$D:$D,'Movimentação Estoque'!$C:$C,A44,'Movimentação Estoque'!$B:$B,"ENTRADA")</f>
        <v>100</v>
      </c>
      <c r="C44" s="38">
        <f>SUMIFS('Movimentação Estoque'!$D:$D,'Movimentação Estoque'!$C:$C,A44,'Movimentação Estoque'!$B:$B,"SAIDA")</f>
        <v>21</v>
      </c>
      <c r="D44" s="39">
        <f t="shared" si="1"/>
        <v>79</v>
      </c>
      <c r="E44" s="44" t="s">
        <v>19</v>
      </c>
    </row>
    <row r="45" ht="22.5" customHeight="1">
      <c r="A45" s="45" t="s">
        <v>92</v>
      </c>
      <c r="B45" s="38">
        <f>SUMIFS('Movimentação Estoque'!$D:$D,'Movimentação Estoque'!$C:$C,A45,'Movimentação Estoque'!$B:$B,"ENTRADA")</f>
        <v>9</v>
      </c>
      <c r="C45" s="38">
        <f>SUMIFS('Movimentação Estoque'!$D:$D,'Movimentação Estoque'!$C:$C,A45,'Movimentação Estoque'!$B:$B,"SAIDA")</f>
        <v>0</v>
      </c>
      <c r="D45" s="39">
        <f t="shared" si="1"/>
        <v>9</v>
      </c>
      <c r="E45" s="44" t="s">
        <v>19</v>
      </c>
    </row>
    <row r="46" ht="22.5" customHeight="1">
      <c r="A46" s="45" t="s">
        <v>94</v>
      </c>
      <c r="B46" s="38">
        <f>SUMIFS('Movimentação Estoque'!$D:$D,'Movimentação Estoque'!$C:$C,A46,'Movimentação Estoque'!$B:$B,"ENTRADA")</f>
        <v>68</v>
      </c>
      <c r="C46" s="38">
        <f>SUMIFS('Movimentação Estoque'!$D:$D,'Movimentação Estoque'!$C:$C,A46,'Movimentação Estoque'!$B:$B,"SAIDA")</f>
        <v>65</v>
      </c>
      <c r="D46" s="39">
        <f t="shared" si="1"/>
        <v>3</v>
      </c>
      <c r="E46" s="44" t="s">
        <v>19</v>
      </c>
    </row>
    <row r="47" ht="22.5" customHeight="1">
      <c r="A47" s="45" t="s">
        <v>96</v>
      </c>
      <c r="B47" s="38">
        <f>SUMIFS('Movimentação Estoque'!$D:$D,'Movimentação Estoque'!$C:$C,A47,'Movimentação Estoque'!$B:$B,"ENTRADA")</f>
        <v>50</v>
      </c>
      <c r="C47" s="38">
        <f>SUMIFS('Movimentação Estoque'!$D:$D,'Movimentação Estoque'!$C:$C,A47,'Movimentação Estoque'!$B:$B,"SAIDA")</f>
        <v>0</v>
      </c>
      <c r="D47" s="39">
        <f t="shared" si="1"/>
        <v>50</v>
      </c>
      <c r="E47" s="44" t="s">
        <v>19</v>
      </c>
    </row>
    <row r="48" ht="22.5" customHeight="1">
      <c r="A48" s="45" t="s">
        <v>97</v>
      </c>
      <c r="B48" s="38">
        <f>SUMIFS('Movimentação Estoque'!$D:$D,'Movimentação Estoque'!$C:$C,A48,'Movimentação Estoque'!$B:$B,"ENTRADA")</f>
        <v>10</v>
      </c>
      <c r="C48" s="38">
        <f>SUMIFS('Movimentação Estoque'!$D:$D,'Movimentação Estoque'!$C:$C,A48,'Movimentação Estoque'!$B:$B,"SAIDA")</f>
        <v>5</v>
      </c>
      <c r="D48" s="39">
        <f t="shared" si="1"/>
        <v>5</v>
      </c>
      <c r="E48" s="47"/>
    </row>
    <row r="49" ht="22.5" customHeight="1">
      <c r="A49" s="45" t="s">
        <v>99</v>
      </c>
      <c r="B49" s="38">
        <f>SUMIFS('Movimentação Estoque'!$D:$D,'Movimentação Estoque'!$C:$C,A49,'Movimentação Estoque'!$B:$B,"ENTRADA")</f>
        <v>16</v>
      </c>
      <c r="C49" s="38">
        <f>SUMIFS('Movimentação Estoque'!$D:$D,'Movimentação Estoque'!$C:$C,A49,'Movimentação Estoque'!$B:$B,"SAIDA")</f>
        <v>11</v>
      </c>
      <c r="D49" s="39">
        <f t="shared" si="1"/>
        <v>5</v>
      </c>
      <c r="E49" s="47"/>
    </row>
    <row r="50" ht="22.5" customHeight="1">
      <c r="A50" s="45" t="s">
        <v>101</v>
      </c>
      <c r="B50" s="38">
        <f>SUMIFS('Movimentação Estoque'!$D:$D,'Movimentação Estoque'!$C:$C,A50,'Movimentação Estoque'!$B:$B,"ENTRADA")</f>
        <v>11</v>
      </c>
      <c r="C50" s="38">
        <f>SUMIFS('Movimentação Estoque'!$D:$D,'Movimentação Estoque'!$C:$C,A50,'Movimentação Estoque'!$B:$B,"SAIDA")</f>
        <v>6</v>
      </c>
      <c r="D50" s="39">
        <f t="shared" si="1"/>
        <v>5</v>
      </c>
      <c r="E50" s="47"/>
    </row>
    <row r="51" ht="22.5" customHeight="1">
      <c r="A51" s="45" t="s">
        <v>102</v>
      </c>
      <c r="B51" s="38">
        <f>SUMIFS('Movimentação Estoque'!$D:$D,'Movimentação Estoque'!$C:$C,A51,'Movimentação Estoque'!$B:$B,"ENTRADA")</f>
        <v>11</v>
      </c>
      <c r="C51" s="38">
        <f>SUMIFS('Movimentação Estoque'!$D:$D,'Movimentação Estoque'!$C:$C,A51,'Movimentação Estoque'!$B:$B,"SAIDA")</f>
        <v>5</v>
      </c>
      <c r="D51" s="39">
        <f t="shared" si="1"/>
        <v>6</v>
      </c>
      <c r="E51" s="47"/>
    </row>
    <row r="52" ht="22.5" customHeight="1">
      <c r="A52" s="45" t="s">
        <v>104</v>
      </c>
      <c r="B52" s="38">
        <f>SUMIFS('Movimentação Estoque'!$D:$D,'Movimentação Estoque'!$C:$C,A52,'Movimentação Estoque'!$B:$B,"ENTRADA")</f>
        <v>1</v>
      </c>
      <c r="C52" s="38">
        <f>SUMIFS('Movimentação Estoque'!$D:$D,'Movimentação Estoque'!$C:$C,A52,'Movimentação Estoque'!$B:$B,"SAIDA")</f>
        <v>0</v>
      </c>
      <c r="D52" s="39">
        <f t="shared" si="1"/>
        <v>1</v>
      </c>
      <c r="E52" s="47"/>
    </row>
    <row r="53" ht="22.5" customHeight="1">
      <c r="A53" s="45" t="s">
        <v>105</v>
      </c>
      <c r="B53" s="38">
        <f>SUMIFS('Movimentação Estoque'!$D:$D,'Movimentação Estoque'!$C:$C,A53,'Movimentação Estoque'!$B:$B,"ENTRADA")</f>
        <v>1408</v>
      </c>
      <c r="C53" s="38">
        <f>SUMIFS('Movimentação Estoque'!$D:$D,'Movimentação Estoque'!$C:$C,A53,'Movimentação Estoque'!$B:$B,"SAIDA")</f>
        <v>689</v>
      </c>
      <c r="D53" s="39">
        <f t="shared" si="1"/>
        <v>719</v>
      </c>
      <c r="E53" s="47"/>
    </row>
    <row r="54" ht="22.5" customHeight="1">
      <c r="A54" s="45" t="s">
        <v>107</v>
      </c>
      <c r="B54" s="38">
        <f>SUMIFS('Movimentação Estoque'!$D:$D,'Movimentação Estoque'!$C:$C,A54,'Movimentação Estoque'!$B:$B,"ENTRADA")</f>
        <v>1</v>
      </c>
      <c r="C54" s="38">
        <f>SUMIFS('Movimentação Estoque'!$D:$D,'Movimentação Estoque'!$C:$C,A54,'Movimentação Estoque'!$B:$B,"SAIDA")</f>
        <v>0</v>
      </c>
      <c r="D54" s="39">
        <f t="shared" si="1"/>
        <v>1</v>
      </c>
      <c r="E54" s="47"/>
    </row>
    <row r="55" ht="22.5" customHeight="1">
      <c r="A55" s="45" t="s">
        <v>108</v>
      </c>
      <c r="B55" s="38">
        <f>SUMIFS('Movimentação Estoque'!$D:$D,'Movimentação Estoque'!$C:$C,A55,'Movimentação Estoque'!$B:$B,"ENTRADA")</f>
        <v>9</v>
      </c>
      <c r="C55" s="38">
        <f>SUMIFS('Movimentação Estoque'!$D:$D,'Movimentação Estoque'!$C:$C,A55,'Movimentação Estoque'!$B:$B,"SAIDA")</f>
        <v>0</v>
      </c>
      <c r="D55" s="39">
        <f t="shared" si="1"/>
        <v>9</v>
      </c>
      <c r="E55" s="47"/>
    </row>
    <row r="56" ht="22.5" customHeight="1">
      <c r="A56" s="45" t="s">
        <v>110</v>
      </c>
      <c r="B56" s="38">
        <f>SUMIFS('Movimentação Estoque'!$D:$D,'Movimentação Estoque'!$C:$C,A56,'Movimentação Estoque'!$B:$B,"ENTRADA")</f>
        <v>5</v>
      </c>
      <c r="C56" s="38">
        <f>SUMIFS('Movimentação Estoque'!$D:$D,'Movimentação Estoque'!$C:$C,A56,'Movimentação Estoque'!$B:$B,"SAIDA")</f>
        <v>2</v>
      </c>
      <c r="D56" s="39">
        <f t="shared" si="1"/>
        <v>3</v>
      </c>
      <c r="E56" s="47"/>
    </row>
    <row r="57" ht="22.5" customHeight="1">
      <c r="A57" s="45" t="s">
        <v>111</v>
      </c>
      <c r="B57" s="38">
        <f>SUMIFS('Movimentação Estoque'!$D:$D,'Movimentação Estoque'!$C:$C,A57,'Movimentação Estoque'!$B:$B,"ENTRADA")</f>
        <v>3174</v>
      </c>
      <c r="C57" s="38">
        <f>SUMIFS('Movimentação Estoque'!$D:$D,'Movimentação Estoque'!$C:$C,A57,'Movimentação Estoque'!$B:$B,"SAIDA")</f>
        <v>1674</v>
      </c>
      <c r="D57" s="39">
        <f t="shared" si="1"/>
        <v>1500</v>
      </c>
      <c r="E57" s="47"/>
    </row>
    <row r="58" ht="22.5" customHeight="1">
      <c r="A58" s="45" t="s">
        <v>113</v>
      </c>
      <c r="B58" s="38">
        <f>SUMIFS('Movimentação Estoque'!$D:$D,'Movimentação Estoque'!$C:$C,A58,'Movimentação Estoque'!$B:$B,"ENTRADA")</f>
        <v>472</v>
      </c>
      <c r="C58" s="38">
        <f>SUMIFS('Movimentação Estoque'!$D:$D,'Movimentação Estoque'!$C:$C,A58,'Movimentação Estoque'!$B:$B,"SAIDA")</f>
        <v>205</v>
      </c>
      <c r="D58" s="39">
        <f t="shared" si="1"/>
        <v>267</v>
      </c>
      <c r="E58" s="41" t="s">
        <v>114</v>
      </c>
    </row>
    <row r="59" ht="22.5" customHeight="1">
      <c r="A59" s="45" t="s">
        <v>115</v>
      </c>
      <c r="B59" s="38">
        <f>SUMIFS('Movimentação Estoque'!$D:$D,'Movimentação Estoque'!$C:$C,A59,'Movimentação Estoque'!$B:$B,"ENTRADA")</f>
        <v>397</v>
      </c>
      <c r="C59" s="38">
        <f>SUMIFS('Movimentação Estoque'!$D:$D,'Movimentação Estoque'!$C:$C,A59,'Movimentação Estoque'!$B:$B,"SAIDA")</f>
        <v>123</v>
      </c>
      <c r="D59" s="39">
        <f t="shared" si="1"/>
        <v>274</v>
      </c>
      <c r="E59" s="41" t="s">
        <v>114</v>
      </c>
    </row>
    <row r="60" ht="22.5" customHeight="1">
      <c r="A60" s="45" t="s">
        <v>117</v>
      </c>
      <c r="B60" s="38">
        <f>SUMIFS('Movimentação Estoque'!$D:$D,'Movimentação Estoque'!$C:$C,A60,'Movimentação Estoque'!$B:$B,"ENTRADA")</f>
        <v>60</v>
      </c>
      <c r="C60" s="38">
        <f>SUMIFS('Movimentação Estoque'!$D:$D,'Movimentação Estoque'!$C:$C,A60,'Movimentação Estoque'!$B:$B,"SAIDA")</f>
        <v>0</v>
      </c>
      <c r="D60" s="39">
        <f t="shared" si="1"/>
        <v>60</v>
      </c>
      <c r="E60" s="41" t="s">
        <v>114</v>
      </c>
    </row>
    <row r="61" ht="22.5" customHeight="1">
      <c r="A61" s="45" t="s">
        <v>118</v>
      </c>
      <c r="B61" s="38">
        <f>SUMIFS('Movimentação Estoque'!$D:$D,'Movimentação Estoque'!$C:$C,A61,'Movimentação Estoque'!$B:$B,"ENTRADA")</f>
        <v>56</v>
      </c>
      <c r="C61" s="38">
        <f>SUMIFS('Movimentação Estoque'!$D:$D,'Movimentação Estoque'!$C:$C,A61,'Movimentação Estoque'!$B:$B,"SAIDA")</f>
        <v>0</v>
      </c>
      <c r="D61" s="39">
        <f t="shared" si="1"/>
        <v>56</v>
      </c>
      <c r="E61" s="47"/>
    </row>
    <row r="62" ht="22.5" customHeight="1">
      <c r="A62" s="45" t="s">
        <v>120</v>
      </c>
      <c r="B62" s="38">
        <f>SUMIFS('Movimentação Estoque'!$D:$D,'Movimentação Estoque'!$C:$C,A62,'Movimentação Estoque'!$B:$B,"ENTRADA")</f>
        <v>72</v>
      </c>
      <c r="C62" s="38">
        <f>SUMIFS('Movimentação Estoque'!$D:$D,'Movimentação Estoque'!$C:$C,A62,'Movimentação Estoque'!$B:$B,"SAIDA")</f>
        <v>0</v>
      </c>
      <c r="D62" s="39">
        <f t="shared" si="1"/>
        <v>72</v>
      </c>
      <c r="E62" s="47"/>
    </row>
    <row r="63" ht="22.5" customHeight="1">
      <c r="A63" s="45" t="s">
        <v>121</v>
      </c>
      <c r="B63" s="38">
        <f>SUMIFS('Movimentação Estoque'!$D:$D,'Movimentação Estoque'!$C:$C,A63,'Movimentação Estoque'!$B:$B,"ENTRADA")</f>
        <v>1</v>
      </c>
      <c r="C63" s="38">
        <f>SUMIFS('Movimentação Estoque'!$D:$D,'Movimentação Estoque'!$C:$C,A63,'Movimentação Estoque'!$B:$B,"SAIDA")</f>
        <v>0</v>
      </c>
      <c r="D63" s="39">
        <f t="shared" si="1"/>
        <v>1</v>
      </c>
      <c r="E63" s="47"/>
    </row>
    <row r="64" ht="22.5" customHeight="1">
      <c r="A64" s="45" t="s">
        <v>123</v>
      </c>
      <c r="B64" s="38">
        <f>SUMIFS('Movimentação Estoque'!$D:$D,'Movimentação Estoque'!$C:$C,A64,'Movimentação Estoque'!$B:$B,"ENTRADA")</f>
        <v>249</v>
      </c>
      <c r="C64" s="38">
        <f>SUMIFS('Movimentação Estoque'!$D:$D,'Movimentação Estoque'!$C:$C,A64,'Movimentação Estoque'!$B:$B,"SAIDA")</f>
        <v>58</v>
      </c>
      <c r="D64" s="39">
        <f t="shared" si="1"/>
        <v>191</v>
      </c>
      <c r="E64" s="47"/>
    </row>
    <row r="65" ht="22.5" customHeight="1">
      <c r="A65" s="45" t="s">
        <v>124</v>
      </c>
      <c r="B65" s="38">
        <f>SUMIFS('Movimentação Estoque'!$D:$D,'Movimentação Estoque'!$C:$C,A65,'Movimentação Estoque'!$B:$B,"ENTRADA")</f>
        <v>0</v>
      </c>
      <c r="C65" s="38">
        <f>SUMIFS('Movimentação Estoque'!$D:$D,'Movimentação Estoque'!$C:$C,A65,'Movimentação Estoque'!$B:$B,"SAIDA")</f>
        <v>162</v>
      </c>
      <c r="D65" s="39">
        <f t="shared" si="1"/>
        <v>-162</v>
      </c>
      <c r="E65" s="47"/>
    </row>
    <row r="66" ht="22.5" customHeight="1">
      <c r="A66" s="45" t="s">
        <v>126</v>
      </c>
      <c r="B66" s="38">
        <f>SUMIFS('Movimentação Estoque'!$D:$D,'Movimentação Estoque'!$C:$C,A66,'Movimentação Estoque'!$B:$B,"ENTRADA")</f>
        <v>2736</v>
      </c>
      <c r="C66" s="38">
        <f>SUMIFS('Movimentação Estoque'!$D:$D,'Movimentação Estoque'!$C:$C,A66,'Movimentação Estoque'!$B:$B,"SAIDA")</f>
        <v>600</v>
      </c>
      <c r="D66" s="39">
        <f t="shared" si="1"/>
        <v>2136</v>
      </c>
      <c r="E66" s="47"/>
    </row>
    <row r="67" ht="22.5" customHeight="1">
      <c r="A67" s="45" t="s">
        <v>127</v>
      </c>
      <c r="B67" s="38">
        <f>SUMIFS('Movimentação Estoque'!$D:$D,'Movimentação Estoque'!$C:$C,A67,'Movimentação Estoque'!$B:$B,"ENTRADA")</f>
        <v>400</v>
      </c>
      <c r="C67" s="38">
        <f>SUMIFS('Movimentação Estoque'!$D:$D,'Movimentação Estoque'!$C:$C,A67,'Movimentação Estoque'!$B:$B,"SAIDA")</f>
        <v>0</v>
      </c>
      <c r="D67" s="39">
        <f t="shared" si="1"/>
        <v>400</v>
      </c>
      <c r="E67" s="47"/>
    </row>
    <row r="68" ht="22.5" customHeight="1">
      <c r="A68" s="45" t="s">
        <v>129</v>
      </c>
      <c r="B68" s="38">
        <f>SUMIFS('Movimentação Estoque'!$D:$D,'Movimentação Estoque'!$C:$C,A68,'Movimentação Estoque'!$B:$B,"ENTRADA")</f>
        <v>940</v>
      </c>
      <c r="C68" s="38">
        <f>SUMIFS('Movimentação Estoque'!$D:$D,'Movimentação Estoque'!$C:$C,A68,'Movimentação Estoque'!$B:$B,"SAIDA")</f>
        <v>533</v>
      </c>
      <c r="D68" s="39">
        <f t="shared" si="1"/>
        <v>407</v>
      </c>
      <c r="E68" s="47"/>
    </row>
    <row r="69" ht="22.5" customHeight="1">
      <c r="A69" s="45" t="s">
        <v>130</v>
      </c>
      <c r="B69" s="38">
        <f>SUMIFS('Movimentação Estoque'!$D:$D,'Movimentação Estoque'!$C:$C,A69,'Movimentação Estoque'!$B:$B,"ENTRADA")</f>
        <v>737</v>
      </c>
      <c r="C69" s="38">
        <f>SUMIFS('Movimentação Estoque'!$D:$D,'Movimentação Estoque'!$C:$C,A69,'Movimentação Estoque'!$B:$B,"SAIDA")</f>
        <v>397</v>
      </c>
      <c r="D69" s="39">
        <f t="shared" si="1"/>
        <v>340</v>
      </c>
      <c r="E69" s="47"/>
    </row>
    <row r="70" ht="22.5" customHeight="1">
      <c r="A70" s="45" t="s">
        <v>131</v>
      </c>
      <c r="B70" s="38">
        <f>SUMIFS('Movimentação Estoque'!$D:$D,'Movimentação Estoque'!$C:$C,A70,'Movimentação Estoque'!$B:$B,"ENTRADA")</f>
        <v>800</v>
      </c>
      <c r="C70" s="38">
        <f>SUMIFS('Movimentação Estoque'!$D:$D,'Movimentação Estoque'!$C:$C,A70,'Movimentação Estoque'!$B:$B,"SAIDA")</f>
        <v>0</v>
      </c>
      <c r="D70" s="39">
        <f t="shared" si="1"/>
        <v>800</v>
      </c>
      <c r="E70" s="47"/>
    </row>
    <row r="71" ht="22.5" customHeight="1">
      <c r="A71" s="45" t="s">
        <v>132</v>
      </c>
      <c r="B71" s="38">
        <f>SUMIFS('Movimentação Estoque'!$D:$D,'Movimentação Estoque'!$C:$C,A71,'Movimentação Estoque'!$B:$B,"ENTRADA")</f>
        <v>509</v>
      </c>
      <c r="C71" s="38">
        <f>SUMIFS('Movimentação Estoque'!$D:$D,'Movimentação Estoque'!$C:$C,A71,'Movimentação Estoque'!$B:$B,"SAIDA")</f>
        <v>240</v>
      </c>
      <c r="D71" s="39">
        <f t="shared" si="1"/>
        <v>269</v>
      </c>
      <c r="E71" s="47"/>
    </row>
    <row r="72" ht="22.5" customHeight="1">
      <c r="A72" s="45" t="s">
        <v>133</v>
      </c>
      <c r="B72" s="38">
        <f>SUMIFS('Movimentação Estoque'!$D:$D,'Movimentação Estoque'!$C:$C,A72,'Movimentação Estoque'!$B:$B,"ENTRADA")</f>
        <v>89</v>
      </c>
      <c r="C72" s="38">
        <f>SUMIFS('Movimentação Estoque'!$D:$D,'Movimentação Estoque'!$C:$C,A72,'Movimentação Estoque'!$B:$B,"SAIDA")</f>
        <v>0</v>
      </c>
      <c r="D72" s="39">
        <f t="shared" si="1"/>
        <v>89</v>
      </c>
      <c r="E72" s="47"/>
    </row>
    <row r="73" ht="22.5" customHeight="1">
      <c r="A73" s="45" t="s">
        <v>134</v>
      </c>
      <c r="B73" s="38">
        <f>SUMIFS('Movimentação Estoque'!$D:$D,'Movimentação Estoque'!$C:$C,A73,'Movimentação Estoque'!$B:$B,"ENTRADA")</f>
        <v>592</v>
      </c>
      <c r="C73" s="38">
        <f>SUMIFS('Movimentação Estoque'!$D:$D,'Movimentação Estoque'!$C:$C,A73,'Movimentação Estoque'!$B:$B,"SAIDA")</f>
        <v>473</v>
      </c>
      <c r="D73" s="39">
        <f t="shared" si="1"/>
        <v>119</v>
      </c>
      <c r="E73" s="47"/>
    </row>
    <row r="74" ht="22.5" customHeight="1">
      <c r="A74" s="45" t="s">
        <v>135</v>
      </c>
      <c r="B74" s="38">
        <f>SUMIFS('Movimentação Estoque'!$D:$D,'Movimentação Estoque'!$C:$C,A74,'Movimentação Estoque'!$B:$B,"ENTRADA")</f>
        <v>100</v>
      </c>
      <c r="C74" s="38">
        <f>SUMIFS('Movimentação Estoque'!$D:$D,'Movimentação Estoque'!$C:$C,A74,'Movimentação Estoque'!$B:$B,"SAIDA")</f>
        <v>0</v>
      </c>
      <c r="D74" s="39">
        <f t="shared" si="1"/>
        <v>100</v>
      </c>
      <c r="E74" s="47"/>
    </row>
    <row r="75" ht="22.5" customHeight="1">
      <c r="A75" s="45" t="s">
        <v>136</v>
      </c>
      <c r="B75" s="38">
        <f>SUMIFS('Movimentação Estoque'!$D:$D,'Movimentação Estoque'!$C:$C,A75,'Movimentação Estoque'!$B:$B,"ENTRADA")</f>
        <v>70</v>
      </c>
      <c r="C75" s="38">
        <f>SUMIFS('Movimentação Estoque'!$D:$D,'Movimentação Estoque'!$C:$C,A75,'Movimentação Estoque'!$B:$B,"SAIDA")</f>
        <v>8</v>
      </c>
      <c r="D75" s="39">
        <f t="shared" si="1"/>
        <v>62</v>
      </c>
      <c r="E75" s="47"/>
    </row>
    <row r="76" ht="22.5" customHeight="1">
      <c r="A76" s="45" t="s">
        <v>137</v>
      </c>
      <c r="B76" s="38">
        <f>SUMIFS('Movimentação Estoque'!$D:$D,'Movimentação Estoque'!$C:$C,A76,'Movimentação Estoque'!$B:$B,"ENTRADA")</f>
        <v>571</v>
      </c>
      <c r="C76" s="38">
        <f>SUMIFS('Movimentação Estoque'!$D:$D,'Movimentação Estoque'!$C:$C,A76,'Movimentação Estoque'!$B:$B,"SAIDA")</f>
        <v>517</v>
      </c>
      <c r="D76" s="39">
        <f t="shared" si="1"/>
        <v>54</v>
      </c>
      <c r="E76" s="47"/>
    </row>
    <row r="77" ht="22.5" customHeight="1">
      <c r="A77" s="45" t="s">
        <v>138</v>
      </c>
      <c r="B77" s="38">
        <f>SUMIFS('Movimentação Estoque'!$D:$D,'Movimentação Estoque'!$C:$C,A77,'Movimentação Estoque'!$B:$B,"ENTRADA")</f>
        <v>95</v>
      </c>
      <c r="C77" s="38">
        <f>SUMIFS('Movimentação Estoque'!$D:$D,'Movimentação Estoque'!$C:$C,A77,'Movimentação Estoque'!$B:$B,"SAIDA")</f>
        <v>23</v>
      </c>
      <c r="D77" s="39">
        <f t="shared" si="1"/>
        <v>72</v>
      </c>
      <c r="E77" s="47"/>
    </row>
    <row r="78" ht="22.5" customHeight="1">
      <c r="A78" s="45" t="s">
        <v>139</v>
      </c>
      <c r="B78" s="38">
        <f>SUMIFS('Movimentação Estoque'!$D:$D,'Movimentação Estoque'!$C:$C,A78,'Movimentação Estoque'!$B:$B,"ENTRADA")</f>
        <v>1</v>
      </c>
      <c r="C78" s="38">
        <f>SUMIFS('Movimentação Estoque'!$D:$D,'Movimentação Estoque'!$C:$C,A78,'Movimentação Estoque'!$B:$B,"SAIDA")</f>
        <v>0</v>
      </c>
      <c r="D78" s="39">
        <f t="shared" si="1"/>
        <v>1</v>
      </c>
      <c r="E78" s="47"/>
    </row>
    <row r="79" ht="22.5" customHeight="1">
      <c r="A79" s="45" t="s">
        <v>140</v>
      </c>
      <c r="B79" s="38">
        <f>SUMIFS('Movimentação Estoque'!$D:$D,'Movimentação Estoque'!$C:$C,A79,'Movimentação Estoque'!$B:$B,"ENTRADA")</f>
        <v>12</v>
      </c>
      <c r="C79" s="38">
        <f>SUMIFS('Movimentação Estoque'!$D:$D,'Movimentação Estoque'!$C:$C,A79,'Movimentação Estoque'!$B:$B,"SAIDA")</f>
        <v>1</v>
      </c>
      <c r="D79" s="39">
        <f t="shared" si="1"/>
        <v>11</v>
      </c>
      <c r="E79" s="47"/>
    </row>
    <row r="80" ht="22.5" customHeight="1">
      <c r="A80" s="45" t="s">
        <v>141</v>
      </c>
      <c r="B80" s="38">
        <f>SUMIFS('Movimentação Estoque'!$D:$D,'Movimentação Estoque'!$C:$C,A80,'Movimentação Estoque'!$B:$B,"ENTRADA")</f>
        <v>57</v>
      </c>
      <c r="C80" s="38">
        <f>SUMIFS('Movimentação Estoque'!$D:$D,'Movimentação Estoque'!$C:$C,A80,'Movimentação Estoque'!$B:$B,"SAIDA")</f>
        <v>0</v>
      </c>
      <c r="D80" s="39">
        <f t="shared" si="1"/>
        <v>57</v>
      </c>
      <c r="E80" s="47"/>
    </row>
    <row r="81" ht="22.5" customHeight="1">
      <c r="A81" s="45" t="s">
        <v>142</v>
      </c>
      <c r="B81" s="38">
        <f>SUMIFS('Movimentação Estoque'!$D:$D,'Movimentação Estoque'!$C:$C,A81,'Movimentação Estoque'!$B:$B,"ENTRADA")</f>
        <v>1000</v>
      </c>
      <c r="C81" s="38">
        <f>SUMIFS('Movimentação Estoque'!$D:$D,'Movimentação Estoque'!$C:$C,A81,'Movimentação Estoque'!$B:$B,"SAIDA")</f>
        <v>0</v>
      </c>
      <c r="D81" s="39">
        <f t="shared" si="1"/>
        <v>1000</v>
      </c>
      <c r="E81" s="47"/>
    </row>
    <row r="82" ht="22.5" customHeight="1">
      <c r="A82" s="45" t="s">
        <v>143</v>
      </c>
      <c r="B82" s="38">
        <f>SUMIFS('Movimentação Estoque'!$D:$D,'Movimentação Estoque'!$C:$C,A82,'Movimentação Estoque'!$B:$B,"ENTRADA")</f>
        <v>100</v>
      </c>
      <c r="C82" s="38">
        <f>SUMIFS('Movimentação Estoque'!$D:$D,'Movimentação Estoque'!$C:$C,A82,'Movimentação Estoque'!$B:$B,"SAIDA")</f>
        <v>0</v>
      </c>
      <c r="D82" s="39">
        <f t="shared" si="1"/>
        <v>100</v>
      </c>
      <c r="E82" s="47"/>
    </row>
    <row r="83" ht="22.5" customHeight="1">
      <c r="A83" s="45" t="s">
        <v>144</v>
      </c>
      <c r="B83" s="38">
        <f>SUMIFS('Movimentação Estoque'!$D:$D,'Movimentação Estoque'!$C:$C,A83,'Movimentação Estoque'!$B:$B,"ENTRADA")</f>
        <v>100</v>
      </c>
      <c r="C83" s="38">
        <f>SUMIFS('Movimentação Estoque'!$D:$D,'Movimentação Estoque'!$C:$C,A83,'Movimentação Estoque'!$B:$B,"SAIDA")</f>
        <v>0</v>
      </c>
      <c r="D83" s="39">
        <f t="shared" si="1"/>
        <v>100</v>
      </c>
      <c r="E83" s="47"/>
    </row>
    <row r="84" ht="22.5" customHeight="1">
      <c r="A84" s="45" t="s">
        <v>146</v>
      </c>
      <c r="B84" s="38">
        <f>SUMIFS('Movimentação Estoque'!$D:$D,'Movimentação Estoque'!$C:$C,A84,'Movimentação Estoque'!$B:$B,"ENTRADA")</f>
        <v>487</v>
      </c>
      <c r="C84" s="38">
        <f>SUMIFS('Movimentação Estoque'!$D:$D,'Movimentação Estoque'!$C:$C,A84,'Movimentação Estoque'!$B:$B,"SAIDA")</f>
        <v>454</v>
      </c>
      <c r="D84" s="39">
        <f t="shared" si="1"/>
        <v>33</v>
      </c>
      <c r="E84" s="47"/>
    </row>
    <row r="85" ht="22.5" customHeight="1">
      <c r="A85" s="45" t="s">
        <v>147</v>
      </c>
      <c r="B85" s="38">
        <f>SUMIFS('Movimentação Estoque'!$D:$D,'Movimentação Estoque'!$C:$C,A85,'Movimentação Estoque'!$B:$B,"ENTRADA")</f>
        <v>10</v>
      </c>
      <c r="C85" s="38">
        <f>SUMIFS('Movimentação Estoque'!$D:$D,'Movimentação Estoque'!$C:$C,A85,'Movimentação Estoque'!$B:$B,"SAIDA")</f>
        <v>4</v>
      </c>
      <c r="D85" s="39">
        <f t="shared" si="1"/>
        <v>6</v>
      </c>
      <c r="E85" s="44"/>
    </row>
    <row r="86" ht="22.5" customHeight="1">
      <c r="A86" s="45" t="s">
        <v>148</v>
      </c>
      <c r="B86" s="38">
        <f>SUMIFS('Movimentação Estoque'!$D:$D,'Movimentação Estoque'!$C:$C,A86,'Movimentação Estoque'!$B:$B,"ENTRADA")</f>
        <v>30</v>
      </c>
      <c r="C86" s="38">
        <f>SUMIFS('Movimentação Estoque'!$D:$D,'Movimentação Estoque'!$C:$C,A86,'Movimentação Estoque'!$B:$B,"SAIDA")</f>
        <v>0</v>
      </c>
      <c r="D86" s="39">
        <f t="shared" si="1"/>
        <v>30</v>
      </c>
      <c r="E86" s="44"/>
    </row>
    <row r="87" ht="22.5" customHeight="1">
      <c r="A87" s="45" t="s">
        <v>149</v>
      </c>
      <c r="B87" s="38">
        <f>SUMIFS('Movimentação Estoque'!$D:$D,'Movimentação Estoque'!$C:$C,A87,'Movimentação Estoque'!$B:$B,"ENTRADA")</f>
        <v>8</v>
      </c>
      <c r="C87" s="38">
        <f>SUMIFS('Movimentação Estoque'!$D:$D,'Movimentação Estoque'!$C:$C,A87,'Movimentação Estoque'!$B:$B,"SAIDA")</f>
        <v>0</v>
      </c>
      <c r="D87" s="39">
        <f t="shared" si="1"/>
        <v>8</v>
      </c>
      <c r="E87" s="47"/>
    </row>
    <row r="88" ht="22.5" customHeight="1">
      <c r="A88" s="45" t="s">
        <v>150</v>
      </c>
      <c r="B88" s="38">
        <f>SUMIFS('Movimentação Estoque'!$D:$D,'Movimentação Estoque'!$C:$C,A88,'Movimentação Estoque'!$B:$B,"ENTRADA")</f>
        <v>40</v>
      </c>
      <c r="C88" s="52">
        <f>SUMIFS('Movimentação Estoque'!$D:$D,'Movimentação Estoque'!$C:$C,A88,'Movimentação Estoque'!$B:$B,"SAIDA")</f>
        <v>0</v>
      </c>
      <c r="D88" s="39">
        <f t="shared" si="1"/>
        <v>40</v>
      </c>
      <c r="E88" s="53"/>
    </row>
    <row r="89" ht="22.5" customHeight="1">
      <c r="A89" s="45" t="s">
        <v>151</v>
      </c>
      <c r="B89" s="38">
        <f>SUMIFS('Movimentação Estoque'!$D:$D,'Movimentação Estoque'!$C:$C,A89,'Movimentação Estoque'!$B:$B,"ENTRADA")</f>
        <v>20</v>
      </c>
      <c r="C89" s="52">
        <f>SUMIFS('Movimentação Estoque'!$D:$D,'Movimentação Estoque'!$C:$C,A89,'Movimentação Estoque'!$B:$B,"SAIDA")</f>
        <v>0</v>
      </c>
      <c r="D89" s="39">
        <f t="shared" si="1"/>
        <v>20</v>
      </c>
      <c r="E89" s="53"/>
    </row>
    <row r="90" ht="22.5" customHeight="1">
      <c r="A90" s="45" t="s">
        <v>152</v>
      </c>
      <c r="B90" s="38">
        <f>SUMIFS('Movimentação Estoque'!$D:$D,'Movimentação Estoque'!$C:$C,A90,'Movimentação Estoque'!$B:$B,"ENTRADA")</f>
        <v>30</v>
      </c>
      <c r="C90" s="52">
        <f>SUMIFS('Movimentação Estoque'!$D:$D,'Movimentação Estoque'!$C:$C,A90,'Movimentação Estoque'!$B:$B,"SAIDA")</f>
        <v>0</v>
      </c>
      <c r="D90" s="39">
        <f t="shared" si="1"/>
        <v>30</v>
      </c>
      <c r="E90" s="53"/>
    </row>
    <row r="91" ht="22.5" customHeight="1">
      <c r="A91" s="45" t="s">
        <v>153</v>
      </c>
      <c r="B91" s="38">
        <f>SUMIFS('Movimentação Estoque'!$D:$D,'Movimentação Estoque'!$C:$C,A91,'Movimentação Estoque'!$B:$B,"ENTRADA")</f>
        <v>1</v>
      </c>
      <c r="C91" s="52">
        <f>SUMIFS('Movimentação Estoque'!$D:$D,'Movimentação Estoque'!$C:$C,A91,'Movimentação Estoque'!$B:$B,"SAIDA")</f>
        <v>0</v>
      </c>
      <c r="D91" s="39">
        <f t="shared" si="1"/>
        <v>1</v>
      </c>
      <c r="E91" s="53"/>
    </row>
    <row r="92" ht="22.5" customHeight="1">
      <c r="A92" s="45" t="s">
        <v>154</v>
      </c>
      <c r="B92" s="38">
        <f>SUMIFS('Movimentação Estoque'!$D:$D,'Movimentação Estoque'!$C:$C,A92,'Movimentação Estoque'!$B:$B,"ENTRADA")</f>
        <v>10</v>
      </c>
      <c r="C92" s="52">
        <f>SUMIFS('Movimentação Estoque'!$D:$D,'Movimentação Estoque'!$C:$C,A92,'Movimentação Estoque'!$B:$B,"SAIDA")</f>
        <v>2</v>
      </c>
      <c r="D92" s="39">
        <f t="shared" si="1"/>
        <v>8</v>
      </c>
      <c r="E92" s="53"/>
    </row>
    <row r="93" ht="22.5" customHeight="1">
      <c r="A93" s="45" t="s">
        <v>155</v>
      </c>
      <c r="B93" s="38">
        <f>SUMIFS('Movimentação Estoque'!$D:$D,'Movimentação Estoque'!$C:$C,A93,'Movimentação Estoque'!$B:$B,"ENTRADA")</f>
        <v>36</v>
      </c>
      <c r="C93" s="52">
        <f>SUMIFS('Movimentação Estoque'!$D:$D,'Movimentação Estoque'!$C:$C,A93,'Movimentação Estoque'!$B:$B,"SAIDA")</f>
        <v>0</v>
      </c>
      <c r="D93" s="39">
        <f t="shared" si="1"/>
        <v>36</v>
      </c>
      <c r="E93" s="53"/>
    </row>
    <row r="94" ht="22.5" customHeight="1">
      <c r="A94" s="45" t="s">
        <v>156</v>
      </c>
      <c r="B94" s="38">
        <f>SUMIFS('Movimentação Estoque'!$D:$D,'Movimentação Estoque'!$C:$C,A94,'Movimentação Estoque'!$B:$B,"ENTRADA")</f>
        <v>1</v>
      </c>
      <c r="C94" s="52">
        <f>SUMIFS('Movimentação Estoque'!$D:$D,'Movimentação Estoque'!$C:$C,A94,'Movimentação Estoque'!$B:$B,"SAIDA")</f>
        <v>0</v>
      </c>
      <c r="D94" s="39">
        <f t="shared" si="1"/>
        <v>1</v>
      </c>
      <c r="E94" s="53"/>
    </row>
    <row r="95" ht="22.5" customHeight="1">
      <c r="A95" s="45" t="s">
        <v>157</v>
      </c>
      <c r="B95" s="38">
        <f>SUMIFS('Movimentação Estoque'!$D:$D,'Movimentação Estoque'!$C:$C,A95,'Movimentação Estoque'!$B:$B,"ENTRADA")</f>
        <v>3</v>
      </c>
      <c r="C95" s="52">
        <f>SUMIFS('Movimentação Estoque'!$D:$D,'Movimentação Estoque'!$C:$C,A95,'Movimentação Estoque'!$B:$B,"SAIDA")</f>
        <v>0</v>
      </c>
      <c r="D95" s="39">
        <f t="shared" si="1"/>
        <v>3</v>
      </c>
      <c r="E95" s="53"/>
    </row>
    <row r="96" ht="22.5" customHeight="1">
      <c r="A96" s="45" t="s">
        <v>158</v>
      </c>
      <c r="B96" s="38">
        <f>SUMIFS('Movimentação Estoque'!$D:$D,'Movimentação Estoque'!$C:$C,A96,'Movimentação Estoque'!$B:$B,"ENTRADA")</f>
        <v>1</v>
      </c>
      <c r="C96" s="52">
        <f>SUMIFS('Movimentação Estoque'!$D:$D,'Movimentação Estoque'!$C:$C,A96,'Movimentação Estoque'!$B:$B,"SAIDA")</f>
        <v>0</v>
      </c>
      <c r="D96" s="39">
        <f t="shared" si="1"/>
        <v>1</v>
      </c>
      <c r="E96" s="53"/>
    </row>
    <row r="97" ht="22.5" customHeight="1">
      <c r="A97" s="45" t="s">
        <v>159</v>
      </c>
      <c r="B97" s="38">
        <f>SUMIFS('Movimentação Estoque'!$D:$D,'Movimentação Estoque'!$C:$C,A97,'Movimentação Estoque'!$B:$B,"ENTRADA")</f>
        <v>6</v>
      </c>
      <c r="C97" s="52">
        <f>SUMIFS('Movimentação Estoque'!$D:$D,'Movimentação Estoque'!$C:$C,A97,'Movimentação Estoque'!$B:$B,"SAIDA")</f>
        <v>0</v>
      </c>
      <c r="D97" s="39">
        <f t="shared" si="1"/>
        <v>6</v>
      </c>
      <c r="E97" s="53"/>
    </row>
    <row r="98" ht="22.5" customHeight="1">
      <c r="A98" s="45" t="s">
        <v>160</v>
      </c>
      <c r="B98" s="38">
        <f>SUMIFS('Movimentação Estoque'!$D:$D,'Movimentação Estoque'!$C:$C,A98,'Movimentação Estoque'!$B:$B,"ENTRADA")</f>
        <v>7</v>
      </c>
      <c r="C98" s="52">
        <f>SUMIFS('Movimentação Estoque'!$D:$D,'Movimentação Estoque'!$C:$C,A98,'Movimentação Estoque'!$B:$B,"SAIDA")</f>
        <v>0</v>
      </c>
      <c r="D98" s="39">
        <f t="shared" si="1"/>
        <v>7</v>
      </c>
      <c r="E98" s="53"/>
    </row>
    <row r="99" ht="22.5" customHeight="1">
      <c r="A99" s="45" t="s">
        <v>161</v>
      </c>
      <c r="B99" s="38">
        <f>SUMIFS('Movimentação Estoque'!$D:$D,'Movimentação Estoque'!$C:$C,A99,'Movimentação Estoque'!$B:$B,"ENTRADA")</f>
        <v>1</v>
      </c>
      <c r="C99" s="52">
        <f>SUMIFS('Movimentação Estoque'!$D:$D,'Movimentação Estoque'!$C:$C,A99,'Movimentação Estoque'!$B:$B,"SAIDA")</f>
        <v>0</v>
      </c>
      <c r="D99" s="39">
        <f t="shared" si="1"/>
        <v>1</v>
      </c>
      <c r="E99" s="53"/>
    </row>
    <row r="100" ht="22.5" customHeight="1">
      <c r="A100" s="45" t="s">
        <v>162</v>
      </c>
      <c r="B100" s="38">
        <f>SUMIFS('Movimentação Estoque'!$D:$D,'Movimentação Estoque'!$C:$C,A100,'Movimentação Estoque'!$B:$B,"ENTRADA")</f>
        <v>1</v>
      </c>
      <c r="C100" s="52">
        <f>SUMIFS('Movimentação Estoque'!$D:$D,'Movimentação Estoque'!$C:$C,A100,'Movimentação Estoque'!$B:$B,"SAIDA")</f>
        <v>0</v>
      </c>
      <c r="D100" s="39">
        <f t="shared" si="1"/>
        <v>1</v>
      </c>
      <c r="E100" s="53"/>
    </row>
    <row r="101" ht="22.5" customHeight="1">
      <c r="A101" s="45" t="s">
        <v>163</v>
      </c>
      <c r="B101" s="38">
        <f>SUMIFS('Movimentação Estoque'!$D:$D,'Movimentação Estoque'!$C:$C,A101,'Movimentação Estoque'!$B:$B,"ENTRADA")</f>
        <v>1</v>
      </c>
      <c r="C101" s="52">
        <f>SUMIFS('Movimentação Estoque'!$D:$D,'Movimentação Estoque'!$C:$C,A101,'Movimentação Estoque'!$B:$B,"SAIDA")</f>
        <v>0</v>
      </c>
      <c r="D101" s="39">
        <f t="shared" si="1"/>
        <v>1</v>
      </c>
      <c r="E101" s="53"/>
    </row>
    <row r="102" ht="22.5" customHeight="1">
      <c r="A102" s="45" t="s">
        <v>164</v>
      </c>
      <c r="B102" s="38">
        <f>SUMIFS('Movimentação Estoque'!$D:$D,'Movimentação Estoque'!$C:$C,A102,'Movimentação Estoque'!$B:$B,"ENTRADA")</f>
        <v>2</v>
      </c>
      <c r="C102" s="52">
        <f>SUMIFS('Movimentação Estoque'!$D:$D,'Movimentação Estoque'!$C:$C,A102,'Movimentação Estoque'!$B:$B,"SAIDA")</f>
        <v>0</v>
      </c>
      <c r="D102" s="39">
        <f t="shared" si="1"/>
        <v>2</v>
      </c>
      <c r="E102" s="53"/>
    </row>
    <row r="103" ht="22.5" customHeight="1">
      <c r="A103" s="45" t="s">
        <v>165</v>
      </c>
      <c r="B103" s="38">
        <f>SUMIFS('Movimentação Estoque'!$D:$D,'Movimentação Estoque'!$C:$C,A103,'Movimentação Estoque'!$B:$B,"ENTRADA")</f>
        <v>1</v>
      </c>
      <c r="C103" s="52">
        <f>SUMIFS('Movimentação Estoque'!$D:$D,'Movimentação Estoque'!$C:$C,A103,'Movimentação Estoque'!$B:$B,"SAIDA")</f>
        <v>0</v>
      </c>
      <c r="D103" s="39">
        <f t="shared" si="1"/>
        <v>1</v>
      </c>
      <c r="E103" s="53"/>
    </row>
    <row r="104" ht="22.5" customHeight="1">
      <c r="A104" s="45" t="s">
        <v>166</v>
      </c>
      <c r="B104" s="38">
        <f>SUMIFS('Movimentação Estoque'!$D:$D,'Movimentação Estoque'!$C:$C,A104,'Movimentação Estoque'!$B:$B,"ENTRADA")</f>
        <v>1</v>
      </c>
      <c r="C104" s="52">
        <f>SUMIFS('Movimentação Estoque'!$D:$D,'Movimentação Estoque'!$C:$C,A104,'Movimentação Estoque'!$B:$B,"SAIDA")</f>
        <v>0</v>
      </c>
      <c r="D104" s="39">
        <f t="shared" si="1"/>
        <v>1</v>
      </c>
      <c r="E104" s="53"/>
    </row>
    <row r="105" ht="22.5" customHeight="1">
      <c r="A105" s="45" t="s">
        <v>167</v>
      </c>
      <c r="B105" s="38">
        <f>SUMIFS('Movimentação Estoque'!$D:$D,'Movimentação Estoque'!$C:$C,A105,'Movimentação Estoque'!$B:$B,"ENTRADA")</f>
        <v>28</v>
      </c>
      <c r="C105" s="52">
        <f>SUMIFS('Movimentação Estoque'!$D:$D,'Movimentação Estoque'!$C:$C,A105,'Movimentação Estoque'!$B:$B,"SAIDA")</f>
        <v>12</v>
      </c>
      <c r="D105" s="39">
        <f t="shared" si="1"/>
        <v>16</v>
      </c>
      <c r="E105" s="53"/>
    </row>
    <row r="106" ht="22.5" customHeight="1">
      <c r="A106" s="45" t="s">
        <v>168</v>
      </c>
      <c r="B106" s="38">
        <f>SUMIFS('Movimentação Estoque'!$D:$D,'Movimentação Estoque'!$C:$C,A106,'Movimentação Estoque'!$B:$B,"ENTRADA")</f>
        <v>38</v>
      </c>
      <c r="C106" s="52">
        <f>SUMIFS('Movimentação Estoque'!$D:$D,'Movimentação Estoque'!$C:$C,A106,'Movimentação Estoque'!$B:$B,"SAIDA")</f>
        <v>9</v>
      </c>
      <c r="D106" s="39">
        <f t="shared" si="1"/>
        <v>29</v>
      </c>
      <c r="E106" s="53"/>
    </row>
    <row r="107" ht="22.5" customHeight="1">
      <c r="A107" s="45" t="s">
        <v>169</v>
      </c>
      <c r="B107" s="38">
        <f>SUMIFS('Movimentação Estoque'!$D:$D,'Movimentação Estoque'!$C:$C,A107,'Movimentação Estoque'!$B:$B,"ENTRADA")</f>
        <v>30</v>
      </c>
      <c r="C107" s="52">
        <f>SUMIFS('Movimentação Estoque'!$D:$D,'Movimentação Estoque'!$C:$C,A107,'Movimentação Estoque'!$B:$B,"SAIDA")</f>
        <v>0</v>
      </c>
      <c r="D107" s="39">
        <f t="shared" si="1"/>
        <v>30</v>
      </c>
      <c r="E107" s="53"/>
    </row>
    <row r="108" ht="22.5" customHeight="1">
      <c r="A108" s="45" t="s">
        <v>170</v>
      </c>
      <c r="B108" s="38">
        <f>SUMIFS('Movimentação Estoque'!$D:$D,'Movimentação Estoque'!$C:$C,A108,'Movimentação Estoque'!$B:$B,"ENTRADA")</f>
        <v>7</v>
      </c>
      <c r="C108" s="52">
        <f>SUMIFS('Movimentação Estoque'!$D:$D,'Movimentação Estoque'!$C:$C,A108,'Movimentação Estoque'!$B:$B,"SAIDA")</f>
        <v>2</v>
      </c>
      <c r="D108" s="39">
        <f t="shared" si="1"/>
        <v>5</v>
      </c>
      <c r="E108" s="53"/>
    </row>
    <row r="109" ht="22.5" customHeight="1">
      <c r="A109" s="45" t="s">
        <v>171</v>
      </c>
      <c r="B109" s="38">
        <f>SUMIFS('Movimentação Estoque'!$D:$D,'Movimentação Estoque'!$C:$C,A109,'Movimentação Estoque'!$B:$B,"ENTRADA")</f>
        <v>2</v>
      </c>
      <c r="C109" s="52">
        <f>SUMIFS('Movimentação Estoque'!$D:$D,'Movimentação Estoque'!$C:$C,A109,'Movimentação Estoque'!$B:$B,"SAIDA")</f>
        <v>1</v>
      </c>
      <c r="D109" s="39">
        <f t="shared" si="1"/>
        <v>1</v>
      </c>
      <c r="E109" s="53"/>
    </row>
    <row r="110" ht="22.5" customHeight="1">
      <c r="A110" s="45" t="s">
        <v>172</v>
      </c>
      <c r="B110" s="38">
        <f>SUMIFS('Movimentação Estoque'!$D:$D,'Movimentação Estoque'!$C:$C,A110,'Movimentação Estoque'!$B:$B,"ENTRADA")</f>
        <v>378</v>
      </c>
      <c r="C110" s="52">
        <f>SUMIFS('Movimentação Estoque'!$D:$D,'Movimentação Estoque'!$C:$C,A110,'Movimentação Estoque'!$B:$B,"SAIDA")</f>
        <v>0</v>
      </c>
      <c r="D110" s="39">
        <f t="shared" si="1"/>
        <v>378</v>
      </c>
      <c r="E110" s="53"/>
    </row>
    <row r="111" ht="22.5" customHeight="1">
      <c r="A111" s="45" t="s">
        <v>173</v>
      </c>
      <c r="B111" s="38">
        <f>SUMIFS('Movimentação Estoque'!$D:$D,'Movimentação Estoque'!$C:$C,A111,'Movimentação Estoque'!$B:$B,"ENTRADA")</f>
        <v>1</v>
      </c>
      <c r="C111" s="52">
        <f>SUMIFS('Movimentação Estoque'!$D:$D,'Movimentação Estoque'!$C:$C,A111,'Movimentação Estoque'!$B:$B,"SAIDA")</f>
        <v>0</v>
      </c>
      <c r="D111" s="39">
        <f t="shared" si="1"/>
        <v>1</v>
      </c>
      <c r="E111" s="53"/>
    </row>
    <row r="112" ht="22.5" customHeight="1">
      <c r="A112" s="45" t="s">
        <v>174</v>
      </c>
      <c r="B112" s="38">
        <f>SUMIFS('Movimentação Estoque'!$D:$D,'Movimentação Estoque'!$C:$C,A112,'Movimentação Estoque'!$B:$B,"ENTRADA")</f>
        <v>60</v>
      </c>
      <c r="C112" s="52">
        <f>SUMIFS('Movimentação Estoque'!$D:$D,'Movimentação Estoque'!$C:$C,A112,'Movimentação Estoque'!$B:$B,"SAIDA")</f>
        <v>0</v>
      </c>
      <c r="D112" s="39">
        <f t="shared" si="1"/>
        <v>60</v>
      </c>
      <c r="E112" s="53"/>
    </row>
    <row r="113" ht="22.5" customHeight="1">
      <c r="A113" s="45" t="s">
        <v>175</v>
      </c>
      <c r="B113" s="38">
        <f>SUMIFS('Movimentação Estoque'!$D:$D,'Movimentação Estoque'!$C:$C,A113,'Movimentação Estoque'!$B:$B,"ENTRADA")</f>
        <v>684</v>
      </c>
      <c r="C113" s="52">
        <f>SUMIFS('Movimentação Estoque'!$D:$D,'Movimentação Estoque'!$C:$C,A113,'Movimentação Estoque'!$B:$B,"SAIDA")</f>
        <v>0</v>
      </c>
      <c r="D113" s="39">
        <f t="shared" si="1"/>
        <v>684</v>
      </c>
      <c r="E113" s="58" t="s">
        <v>176</v>
      </c>
    </row>
    <row r="114" ht="22.5" customHeight="1">
      <c r="A114" s="45" t="s">
        <v>177</v>
      </c>
      <c r="B114" s="38">
        <f>SUMIFS('Movimentação Estoque'!$D:$D,'Movimentação Estoque'!$C:$C,A114,'Movimentação Estoque'!$B:$B,"ENTRADA")</f>
        <v>52</v>
      </c>
      <c r="C114" s="52">
        <f>SUMIFS('Movimentação Estoque'!$D:$D,'Movimentação Estoque'!$C:$C,A114,'Movimentação Estoque'!$B:$B,"SAIDA")</f>
        <v>43</v>
      </c>
      <c r="D114" s="39">
        <f t="shared" si="1"/>
        <v>9</v>
      </c>
      <c r="E114" s="58" t="s">
        <v>178</v>
      </c>
    </row>
    <row r="115" ht="22.5" customHeight="1">
      <c r="A115" s="45" t="s">
        <v>179</v>
      </c>
      <c r="B115" s="38">
        <f>SUMIFS('Movimentação Estoque'!$D:$D,'Movimentação Estoque'!$C:$C,A115,'Movimentação Estoque'!$B:$B,"ENTRADA")</f>
        <v>2</v>
      </c>
      <c r="C115" s="52">
        <f>SUMIFS('Movimentação Estoque'!$D:$D,'Movimentação Estoque'!$C:$C,A115,'Movimentação Estoque'!$B:$B,"SAIDA")</f>
        <v>0</v>
      </c>
      <c r="D115" s="39">
        <f t="shared" si="1"/>
        <v>2</v>
      </c>
      <c r="E115" s="53"/>
    </row>
    <row r="116" ht="22.5" customHeight="1">
      <c r="A116" s="45" t="s">
        <v>180</v>
      </c>
      <c r="B116" s="38">
        <f>SUMIFS('Movimentação Estoque'!$D:$D,'Movimentação Estoque'!$C:$C,A116,'Movimentação Estoque'!$B:$B,"ENTRADA")</f>
        <v>15</v>
      </c>
      <c r="C116" s="52">
        <f>SUMIFS('Movimentação Estoque'!$D:$D,'Movimentação Estoque'!$C:$C,A116,'Movimentação Estoque'!$B:$B,"SAIDA")</f>
        <v>0</v>
      </c>
      <c r="D116" s="39">
        <f t="shared" si="1"/>
        <v>15</v>
      </c>
      <c r="E116" s="53"/>
    </row>
    <row r="117" ht="22.5" customHeight="1">
      <c r="A117" s="45" t="s">
        <v>181</v>
      </c>
      <c r="B117" s="38">
        <f>SUMIFS('Movimentação Estoque'!$D:$D,'Movimentação Estoque'!$C:$C,A117,'Movimentação Estoque'!$B:$B,"ENTRADA")</f>
        <v>23</v>
      </c>
      <c r="C117" s="52">
        <f>SUMIFS('Movimentação Estoque'!$D:$D,'Movimentação Estoque'!$C:$C,A117,'Movimentação Estoque'!$B:$B,"SAIDA")</f>
        <v>0</v>
      </c>
      <c r="D117" s="39">
        <f t="shared" si="1"/>
        <v>23</v>
      </c>
      <c r="E117" s="53"/>
    </row>
    <row r="118" ht="22.5" customHeight="1">
      <c r="A118" s="45" t="s">
        <v>182</v>
      </c>
      <c r="B118" s="38">
        <f>SUMIFS('Movimentação Estoque'!$D:$D,'Movimentação Estoque'!$C:$C,A118,'Movimentação Estoque'!$B:$B,"ENTRADA")</f>
        <v>28</v>
      </c>
      <c r="C118" s="52">
        <f>SUMIFS('Movimentação Estoque'!$D:$D,'Movimentação Estoque'!$C:$C,A118,'Movimentação Estoque'!$B:$B,"SAIDA")</f>
        <v>22</v>
      </c>
      <c r="D118" s="39">
        <f t="shared" si="1"/>
        <v>6</v>
      </c>
      <c r="E118" s="53"/>
    </row>
    <row r="119" ht="22.5" customHeight="1">
      <c r="A119" s="45" t="s">
        <v>83</v>
      </c>
      <c r="B119" s="38">
        <f>SUMIFS('Movimentação Estoque'!$D:$D,'Movimentação Estoque'!$C:$C,A119,'Movimentação Estoque'!$B:$B,"ENTRADA")</f>
        <v>23</v>
      </c>
      <c r="C119" s="52">
        <f>SUMIFS('Movimentação Estoque'!$D:$D,'Movimentação Estoque'!$C:$C,A119,'Movimentação Estoque'!$B:$B,"SAIDA")</f>
        <v>16</v>
      </c>
      <c r="D119" s="39">
        <f t="shared" si="1"/>
        <v>7</v>
      </c>
      <c r="E119" s="53"/>
    </row>
    <row r="120" ht="22.5" customHeight="1">
      <c r="A120" s="45" t="s">
        <v>183</v>
      </c>
      <c r="B120" s="38">
        <f>SUMIFS('Movimentação Estoque'!$D:$D,'Movimentação Estoque'!$C:$C,A120,'Movimentação Estoque'!$B:$B,"ENTRADA")</f>
        <v>2</v>
      </c>
      <c r="C120" s="52">
        <f>SUMIFS('Movimentação Estoque'!$D:$D,'Movimentação Estoque'!$C:$C,A120,'Movimentação Estoque'!$B:$B,"SAIDA")</f>
        <v>0</v>
      </c>
      <c r="D120" s="39">
        <f t="shared" si="1"/>
        <v>2</v>
      </c>
      <c r="E120" s="53"/>
    </row>
    <row r="121" ht="22.5" customHeight="1">
      <c r="A121" s="45" t="s">
        <v>184</v>
      </c>
      <c r="B121" s="38">
        <f>SUMIFS('Movimentação Estoque'!$D:$D,'Movimentação Estoque'!$C:$C,A121,'Movimentação Estoque'!$B:$B,"ENTRADA")</f>
        <v>4</v>
      </c>
      <c r="C121" s="52">
        <f>SUMIFS('Movimentação Estoque'!$D:$D,'Movimentação Estoque'!$C:$C,A121,'Movimentação Estoque'!$B:$B,"SAIDA")</f>
        <v>0</v>
      </c>
      <c r="D121" s="39">
        <f t="shared" si="1"/>
        <v>4</v>
      </c>
      <c r="E121" s="53"/>
    </row>
    <row r="122" ht="22.5" customHeight="1">
      <c r="A122" s="45" t="s">
        <v>185</v>
      </c>
      <c r="B122" s="38">
        <f>SUMIFS('Movimentação Estoque'!$D:$D,'Movimentação Estoque'!$C:$C,A122,'Movimentação Estoque'!$B:$B,"ENTRADA")</f>
        <v>21</v>
      </c>
      <c r="C122" s="52">
        <f>SUMIFS('Movimentação Estoque'!$D:$D,'Movimentação Estoque'!$C:$C,A122,'Movimentação Estoque'!$B:$B,"SAIDA")</f>
        <v>0</v>
      </c>
      <c r="D122" s="39">
        <f t="shared" si="1"/>
        <v>21</v>
      </c>
      <c r="E122" s="53"/>
    </row>
    <row r="123" ht="22.5" customHeight="1">
      <c r="A123" s="45" t="s">
        <v>187</v>
      </c>
      <c r="B123" s="38">
        <f>SUMIFS('Movimentação Estoque'!$D:$D,'Movimentação Estoque'!$C:$C,A123,'Movimentação Estoque'!$B:$B,"ENTRADA")</f>
        <v>2</v>
      </c>
      <c r="C123" s="52">
        <f>SUMIFS('Movimentação Estoque'!$D:$D,'Movimentação Estoque'!$C:$C,A123,'Movimentação Estoque'!$B:$B,"SAIDA")</f>
        <v>0</v>
      </c>
      <c r="D123" s="39">
        <f t="shared" si="1"/>
        <v>2</v>
      </c>
      <c r="E123" s="53"/>
    </row>
    <row r="124" ht="22.5" customHeight="1">
      <c r="A124" s="45" t="s">
        <v>188</v>
      </c>
      <c r="B124" s="38">
        <f>SUMIFS('Movimentação Estoque'!$D:$D,'Movimentação Estoque'!$C:$C,A124,'Movimentação Estoque'!$B:$B,"ENTRADA")</f>
        <v>10</v>
      </c>
      <c r="C124" s="52">
        <f>SUMIFS('Movimentação Estoque'!$D:$D,'Movimentação Estoque'!$C:$C,A124,'Movimentação Estoque'!$B:$B,"SAIDA")</f>
        <v>0</v>
      </c>
      <c r="D124" s="39">
        <f t="shared" si="1"/>
        <v>10</v>
      </c>
      <c r="E124" s="53"/>
    </row>
    <row r="125" ht="22.5" customHeight="1">
      <c r="A125" s="45" t="s">
        <v>189</v>
      </c>
      <c r="B125" s="52">
        <f>SUMIFS('Movimentação Estoque'!D:D,'Movimentação Estoque'!C:C,A125,'Movimentação Estoque'!B:B,"ENTRADA")</f>
        <v>2</v>
      </c>
      <c r="C125" s="52">
        <f>SUMIFS('Movimentação Estoque'!$D:$D,'Movimentação Estoque'!$C:$C,A125,'Movimentação Estoque'!$B:$B,"SAIDA")</f>
        <v>0</v>
      </c>
      <c r="D125" s="39">
        <f t="shared" si="1"/>
        <v>2</v>
      </c>
      <c r="E125" s="53"/>
    </row>
    <row r="126" ht="22.5" customHeight="1">
      <c r="A126" s="45" t="s">
        <v>190</v>
      </c>
      <c r="B126" s="52">
        <f>SUMIFS('Movimentação Estoque'!D:D,'Movimentação Estoque'!C:C,A126,'Movimentação Estoque'!B:B,"ENTRADA")</f>
        <v>30</v>
      </c>
      <c r="C126" s="52">
        <f>SUMIFS('Movimentação Estoque'!$D:$D,'Movimentação Estoque'!$C:$C,A126,'Movimentação Estoque'!$B:$B,"SAIDA")</f>
        <v>14</v>
      </c>
      <c r="D126" s="39">
        <f t="shared" si="1"/>
        <v>16</v>
      </c>
      <c r="E126" s="53"/>
    </row>
    <row r="127" ht="22.5" customHeight="1">
      <c r="A127" s="45" t="s">
        <v>191</v>
      </c>
      <c r="B127" s="52">
        <f>SUMIFS('Movimentação Estoque'!D:D,'Movimentação Estoque'!C:C,A127,'Movimentação Estoque'!B:B,"ENTRADA")</f>
        <v>10</v>
      </c>
      <c r="C127" s="52">
        <f>SUMIFS('Movimentação Estoque'!$D:$D,'Movimentação Estoque'!$C:$C,A127,'Movimentação Estoque'!$B:$B,"SAIDA")</f>
        <v>0</v>
      </c>
      <c r="D127" s="39">
        <f t="shared" si="1"/>
        <v>10</v>
      </c>
      <c r="E127" s="53"/>
    </row>
    <row r="128" ht="22.5" customHeight="1">
      <c r="A128" s="45" t="s">
        <v>192</v>
      </c>
      <c r="B128" s="52">
        <f>SUMIFS('Movimentação Estoque'!D:D,'Movimentação Estoque'!C:C,A128,'Movimentação Estoque'!B:B,"ENTRADA")</f>
        <v>3</v>
      </c>
      <c r="C128" s="52">
        <f>SUMIFS('Movimentação Estoque'!$D:$D,'Movimentação Estoque'!$C:$C,A128,'Movimentação Estoque'!$B:$B,"SAIDA")</f>
        <v>0</v>
      </c>
      <c r="D128" s="39">
        <f t="shared" si="1"/>
        <v>3</v>
      </c>
      <c r="E128" s="53"/>
    </row>
    <row r="129" ht="22.5" customHeight="1">
      <c r="A129" s="45" t="s">
        <v>193</v>
      </c>
      <c r="B129" s="52">
        <f>SUMIFS('Movimentação Estoque'!D:D,'Movimentação Estoque'!C:C,A129,'Movimentação Estoque'!B:B,"ENTRADA")</f>
        <v>500</v>
      </c>
      <c r="C129" s="52">
        <f>SUMIFS('Movimentação Estoque'!$D:$D,'Movimentação Estoque'!$C:$C,A129,'Movimentação Estoque'!$B:$B,"SAIDA")</f>
        <v>430</v>
      </c>
      <c r="D129" s="39">
        <f t="shared" si="1"/>
        <v>70</v>
      </c>
      <c r="E129" s="53"/>
    </row>
    <row r="130" ht="22.5" customHeight="1">
      <c r="A130" s="45" t="s">
        <v>194</v>
      </c>
      <c r="B130" s="52">
        <f>SUMIFS('Movimentação Estoque'!D:D,'Movimentação Estoque'!C:C,A130,'Movimentação Estoque'!B:B,"ENTRADA")</f>
        <v>67</v>
      </c>
      <c r="C130" s="52">
        <f>SUMIFS('Movimentação Estoque'!$D:$D,'Movimentação Estoque'!$C:$C,A130,'Movimentação Estoque'!$B:$B,"SAIDA")</f>
        <v>8</v>
      </c>
      <c r="D130" s="39">
        <f t="shared" si="1"/>
        <v>59</v>
      </c>
      <c r="E130" s="53"/>
    </row>
    <row r="131" ht="22.5" customHeight="1">
      <c r="A131" s="45" t="s">
        <v>195</v>
      </c>
      <c r="B131" s="52">
        <f>SUMIFS('Movimentação Estoque'!D:D,'Movimentação Estoque'!C:C,A131,'Movimentação Estoque'!B:B,"ENTRADA")</f>
        <v>1000</v>
      </c>
      <c r="C131" s="52">
        <f>SUMIFS('Movimentação Estoque'!$D:$D,'Movimentação Estoque'!$C:$C,A131,'Movimentação Estoque'!$B:$B,"SAIDA")</f>
        <v>727</v>
      </c>
      <c r="D131" s="39">
        <f t="shared" si="1"/>
        <v>273</v>
      </c>
      <c r="E131" s="53"/>
    </row>
    <row r="132" ht="22.5" customHeight="1">
      <c r="A132" s="45" t="s">
        <v>196</v>
      </c>
      <c r="B132" s="52">
        <f>SUMIFS('Movimentação Estoque'!D:D,'Movimentação Estoque'!C:C,A132,'Movimentação Estoque'!B:B,"ENTRADA")</f>
        <v>1</v>
      </c>
      <c r="C132" s="52">
        <f>SUMIFS('Movimentação Estoque'!$D:$D,'Movimentação Estoque'!$C:$C,A132,'Movimentação Estoque'!$B:$B,"SAIDA")</f>
        <v>0</v>
      </c>
      <c r="D132" s="39">
        <f t="shared" si="1"/>
        <v>1</v>
      </c>
      <c r="E132" s="53"/>
    </row>
    <row r="133" ht="22.5" customHeight="1">
      <c r="A133" s="45" t="s">
        <v>197</v>
      </c>
      <c r="B133" s="52">
        <f>SUMIFS('Movimentação Estoque'!D:D,'Movimentação Estoque'!C:C,A133,'Movimentação Estoque'!B:B,"ENTRADA")</f>
        <v>1</v>
      </c>
      <c r="C133" s="52">
        <f>SUMIFS('Movimentação Estoque'!$D:$D,'Movimentação Estoque'!$C:$C,A133,'Movimentação Estoque'!$B:$B,"SAIDA")</f>
        <v>0</v>
      </c>
      <c r="D133" s="39">
        <f t="shared" si="1"/>
        <v>1</v>
      </c>
      <c r="E133" s="53"/>
    </row>
    <row r="134" ht="22.5" customHeight="1">
      <c r="A134" s="45" t="s">
        <v>198</v>
      </c>
      <c r="B134" s="52">
        <f>SUMIFS('Movimentação Estoque'!D:D,'Movimentação Estoque'!C:C,A134,'Movimentação Estoque'!B:B,"ENTRADA")</f>
        <v>1</v>
      </c>
      <c r="C134" s="52">
        <f>SUMIFS('Movimentação Estoque'!$D:$D,'Movimentação Estoque'!$C:$C,A134,'Movimentação Estoque'!$B:$B,"SAIDA")</f>
        <v>0</v>
      </c>
      <c r="D134" s="39">
        <f t="shared" si="1"/>
        <v>1</v>
      </c>
      <c r="E134" s="53"/>
    </row>
    <row r="135" ht="22.5" customHeight="1">
      <c r="A135" s="45" t="s">
        <v>199</v>
      </c>
      <c r="B135" s="52">
        <f>SUMIFS('Movimentação Estoque'!D:D,'Movimentação Estoque'!C:C,A135,'Movimentação Estoque'!B:B,"ENTRADA")</f>
        <v>7</v>
      </c>
      <c r="C135" s="52">
        <f>SUMIFS('Movimentação Estoque'!$D:$D,'Movimentação Estoque'!$C:$C,A135,'Movimentação Estoque'!$B:$B,"SAIDA")</f>
        <v>0</v>
      </c>
      <c r="D135" s="39">
        <f t="shared" si="1"/>
        <v>7</v>
      </c>
      <c r="E135" s="53"/>
    </row>
    <row r="136" ht="22.5" customHeight="1">
      <c r="A136" s="45" t="s">
        <v>200</v>
      </c>
      <c r="B136" s="52">
        <f>SUMIFS('Movimentação Estoque'!D:D,'Movimentação Estoque'!C:C,A136,'Movimentação Estoque'!B:B,"ENTRADA")</f>
        <v>29</v>
      </c>
      <c r="C136" s="52">
        <f>SUMIFS('Movimentação Estoque'!$D:$D,'Movimentação Estoque'!$C:$C,A136,'Movimentação Estoque'!$B:$B,"SAIDA")</f>
        <v>0</v>
      </c>
      <c r="D136" s="39">
        <f t="shared" si="1"/>
        <v>29</v>
      </c>
      <c r="E136" s="53"/>
    </row>
    <row r="137" ht="22.5" customHeight="1">
      <c r="A137" s="45" t="s">
        <v>201</v>
      </c>
      <c r="B137" s="52">
        <f>SUMIFS('Movimentação Estoque'!D:D,'Movimentação Estoque'!C:C,A137,'Movimentação Estoque'!B:B,"ENTRADA")</f>
        <v>320</v>
      </c>
      <c r="C137" s="52">
        <f>SUMIFS('Movimentação Estoque'!$D:$D,'Movimentação Estoque'!$C:$C,A137,'Movimentação Estoque'!$B:$B,"SAIDA")</f>
        <v>262</v>
      </c>
      <c r="D137" s="39">
        <f t="shared" si="1"/>
        <v>58</v>
      </c>
      <c r="E137" s="53"/>
    </row>
    <row r="138" ht="22.5" customHeight="1">
      <c r="A138" s="45" t="s">
        <v>202</v>
      </c>
      <c r="B138" s="52">
        <f>SUMIFS('Movimentação Estoque'!D:D,'Movimentação Estoque'!C:C,A138,'Movimentação Estoque'!B:B,"ENTRADA")</f>
        <v>172</v>
      </c>
      <c r="C138" s="52">
        <f>SUMIFS('Movimentação Estoque'!$D:$D,'Movimentação Estoque'!$C:$C,A138,'Movimentação Estoque'!$B:$B,"SAIDA")</f>
        <v>0</v>
      </c>
      <c r="D138" s="39">
        <f t="shared" si="1"/>
        <v>172</v>
      </c>
      <c r="E138" s="53"/>
    </row>
    <row r="139" ht="22.5" customHeight="1">
      <c r="A139" s="45" t="s">
        <v>203</v>
      </c>
      <c r="B139" s="52">
        <f>SUMIFS('Movimentação Estoque'!D:D,'Movimentação Estoque'!C:C,A139,'Movimentação Estoque'!B:B,"ENTRADA")</f>
        <v>4329</v>
      </c>
      <c r="C139" s="52">
        <f>SUMIFS('Movimentação Estoque'!$D:$D,'Movimentação Estoque'!$C:$C,A139,'Movimentação Estoque'!$B:$B,"SAIDA")</f>
        <v>0</v>
      </c>
      <c r="D139" s="39">
        <f t="shared" si="1"/>
        <v>4329</v>
      </c>
      <c r="E139" s="53"/>
    </row>
    <row r="140" ht="22.5" customHeight="1">
      <c r="A140" s="45" t="s">
        <v>204</v>
      </c>
      <c r="B140" s="52">
        <f>SUMIFS('Movimentação Estoque'!D:D,'Movimentação Estoque'!C:C,A140,'Movimentação Estoque'!B:B,"ENTRADA")</f>
        <v>29</v>
      </c>
      <c r="C140" s="52">
        <f>SUMIFS('Movimentação Estoque'!$D:$D,'Movimentação Estoque'!$C:$C,A140,'Movimentação Estoque'!$B:$B,"SAIDA")</f>
        <v>0</v>
      </c>
      <c r="D140" s="39">
        <f t="shared" si="1"/>
        <v>29</v>
      </c>
      <c r="E140" s="53"/>
    </row>
    <row r="141" ht="22.5" customHeight="1">
      <c r="A141" s="45" t="s">
        <v>205</v>
      </c>
      <c r="B141" s="52">
        <f>SUMIFS('Movimentação Estoque'!D:D,'Movimentação Estoque'!C:C,A141,'Movimentação Estoque'!B:B,"ENTRADA")</f>
        <v>116</v>
      </c>
      <c r="C141" s="52">
        <f>SUMIFS('Movimentação Estoque'!$D:$D,'Movimentação Estoque'!$C:$C,A141,'Movimentação Estoque'!$B:$B,"SAIDA")</f>
        <v>0</v>
      </c>
      <c r="D141" s="39">
        <f t="shared" si="1"/>
        <v>116</v>
      </c>
      <c r="E141" s="53"/>
    </row>
    <row r="142" ht="22.5" customHeight="1">
      <c r="A142" s="45" t="s">
        <v>206</v>
      </c>
      <c r="B142" s="52">
        <f>SUMIFS('Movimentação Estoque'!D:D,'Movimentação Estoque'!C:C,A142,'Movimentação Estoque'!B:B,"ENTRADA")</f>
        <v>100</v>
      </c>
      <c r="C142" s="52">
        <f>SUMIFS('Movimentação Estoque'!$D:$D,'Movimentação Estoque'!$C:$C,A142,'Movimentação Estoque'!$B:$B,"SAIDA")</f>
        <v>0</v>
      </c>
      <c r="D142" s="39">
        <f t="shared" si="1"/>
        <v>100</v>
      </c>
      <c r="E142" s="53"/>
    </row>
    <row r="143" ht="22.5" customHeight="1">
      <c r="A143" s="45" t="s">
        <v>207</v>
      </c>
      <c r="B143" s="52">
        <f>SUMIFS('Movimentação Estoque'!D:D,'Movimentação Estoque'!C:C,A143,'Movimentação Estoque'!B:B,"ENTRADA")</f>
        <v>489</v>
      </c>
      <c r="C143" s="52">
        <f>SUMIFS('Movimentação Estoque'!$D:$D,'Movimentação Estoque'!$C:$C,A143,'Movimentação Estoque'!$B:$B,"SAIDA")</f>
        <v>0</v>
      </c>
      <c r="D143" s="39">
        <f t="shared" si="1"/>
        <v>489</v>
      </c>
      <c r="E143" s="53"/>
    </row>
    <row r="144" ht="22.5" customHeight="1">
      <c r="A144" s="45" t="s">
        <v>208</v>
      </c>
      <c r="B144" s="52">
        <f>SUMIFS('Movimentação Estoque'!D:D,'Movimentação Estoque'!C:C,A144,'Movimentação Estoque'!B:B,"ENTRADA")</f>
        <v>469</v>
      </c>
      <c r="C144" s="52">
        <f>SUMIFS('Movimentação Estoque'!$D:$D,'Movimentação Estoque'!$C:$C,A144,'Movimentação Estoque'!$B:$B,"SAIDA")</f>
        <v>0</v>
      </c>
      <c r="D144" s="39">
        <f t="shared" si="1"/>
        <v>469</v>
      </c>
      <c r="E144" s="53"/>
    </row>
    <row r="145" ht="22.5" customHeight="1">
      <c r="A145" s="45" t="s">
        <v>209</v>
      </c>
      <c r="B145" s="52">
        <f>SUMIFS('Movimentação Estoque'!D:D,'Movimentação Estoque'!C:C,A145,'Movimentação Estoque'!B:B,"ENTRADA")</f>
        <v>100</v>
      </c>
      <c r="C145" s="52">
        <f>SUMIFS('Movimentação Estoque'!$D:$D,'Movimentação Estoque'!$C:$C,A145,'Movimentação Estoque'!$B:$B,"SAIDA")</f>
        <v>0</v>
      </c>
      <c r="D145" s="39">
        <f t="shared" si="1"/>
        <v>100</v>
      </c>
      <c r="E145" s="53"/>
    </row>
    <row r="146" ht="22.5" customHeight="1">
      <c r="A146" s="45" t="s">
        <v>210</v>
      </c>
      <c r="B146" s="52">
        <f>SUMIFS('Movimentação Estoque'!D:D,'Movimentação Estoque'!C:C,A146,'Movimentação Estoque'!B:B,"ENTRADA")</f>
        <v>17</v>
      </c>
      <c r="C146" s="52">
        <f>SUMIFS('Movimentação Estoque'!$D:$D,'Movimentação Estoque'!$C:$C,A146,'Movimentação Estoque'!$B:$B,"SAIDA")</f>
        <v>1</v>
      </c>
      <c r="D146" s="39">
        <f t="shared" si="1"/>
        <v>16</v>
      </c>
      <c r="E146" s="53"/>
    </row>
    <row r="147" ht="22.5" customHeight="1">
      <c r="A147" s="45" t="s">
        <v>211</v>
      </c>
      <c r="B147" s="52">
        <f>SUMIFS('Movimentação Estoque'!D:D,'Movimentação Estoque'!C:C,A147,'Movimentação Estoque'!B:B,"ENTRADA")</f>
        <v>1</v>
      </c>
      <c r="C147" s="52">
        <f>SUMIFS('Movimentação Estoque'!$D:$D,'Movimentação Estoque'!$C:$C,A147,'Movimentação Estoque'!$B:$B,"SAIDA")</f>
        <v>0</v>
      </c>
      <c r="D147" s="39">
        <f t="shared" si="1"/>
        <v>1</v>
      </c>
      <c r="E147" s="53"/>
    </row>
    <row r="148" ht="22.5" customHeight="1">
      <c r="A148" s="45" t="s">
        <v>212</v>
      </c>
      <c r="B148" s="52">
        <f>SUMIFS('Movimentação Estoque'!D:D,'Movimentação Estoque'!C:C,A148,'Movimentação Estoque'!B:B,"ENTRADA")</f>
        <v>1</v>
      </c>
      <c r="C148" s="52">
        <f>SUMIFS('Movimentação Estoque'!$D:$D,'Movimentação Estoque'!$C:$C,A148,'Movimentação Estoque'!$B:$B,"SAIDA")</f>
        <v>0</v>
      </c>
      <c r="D148" s="39">
        <f t="shared" si="1"/>
        <v>1</v>
      </c>
      <c r="E148" s="53"/>
    </row>
    <row r="149" ht="22.5" customHeight="1">
      <c r="A149" s="45" t="s">
        <v>213</v>
      </c>
      <c r="B149" s="52">
        <f>SUMIFS('Movimentação Estoque'!D:D,'Movimentação Estoque'!C:C,A149,'Movimentação Estoque'!B:B,"ENTRADA")</f>
        <v>1</v>
      </c>
      <c r="C149" s="52">
        <f>SUMIFS('Movimentação Estoque'!$D:$D,'Movimentação Estoque'!$C:$C,A149,'Movimentação Estoque'!$B:$B,"SAIDA")</f>
        <v>0</v>
      </c>
      <c r="D149" s="39">
        <f t="shared" si="1"/>
        <v>1</v>
      </c>
      <c r="E149" s="53"/>
    </row>
    <row r="150" ht="22.5" customHeight="1">
      <c r="A150" s="45" t="s">
        <v>214</v>
      </c>
      <c r="B150" s="52">
        <f>SUMIFS('Movimentação Estoque'!D:D,'Movimentação Estoque'!C:C,A150,'Movimentação Estoque'!B:B,"ENTRADA")</f>
        <v>2</v>
      </c>
      <c r="C150" s="52">
        <f>SUMIFS('Movimentação Estoque'!$D:$D,'Movimentação Estoque'!$C:$C,A150,'Movimentação Estoque'!$B:$B,"SAIDA")</f>
        <v>0</v>
      </c>
      <c r="D150" s="39">
        <f t="shared" si="1"/>
        <v>2</v>
      </c>
      <c r="E150" s="53"/>
    </row>
    <row r="151" ht="22.5" customHeight="1">
      <c r="A151" s="45" t="s">
        <v>215</v>
      </c>
      <c r="B151" s="52">
        <f>SUMIFS('Movimentação Estoque'!D:D,'Movimentação Estoque'!C:C,A151,'Movimentação Estoque'!B:B,"ENTRADA")</f>
        <v>82</v>
      </c>
      <c r="C151" s="52">
        <f>SUMIFS('Movimentação Estoque'!$D:$D,'Movimentação Estoque'!$C:$C,A151,'Movimentação Estoque'!$B:$B,"SAIDA")</f>
        <v>65</v>
      </c>
      <c r="D151" s="39">
        <f t="shared" si="1"/>
        <v>17</v>
      </c>
      <c r="E151" s="53"/>
    </row>
    <row r="152" ht="22.5" customHeight="1">
      <c r="A152" s="45" t="s">
        <v>216</v>
      </c>
      <c r="B152" s="52">
        <f>SUMIFS('Movimentação Estoque'!D:D,'Movimentação Estoque'!C:C,A152,'Movimentação Estoque'!B:B,"ENTRADA")</f>
        <v>234</v>
      </c>
      <c r="C152" s="52">
        <f>SUMIFS('Movimentação Estoque'!$D:$D,'Movimentação Estoque'!$C:$C,A152,'Movimentação Estoque'!$B:$B,"SAIDA")</f>
        <v>112</v>
      </c>
      <c r="D152" s="39">
        <f t="shared" si="1"/>
        <v>122</v>
      </c>
      <c r="E152" s="53"/>
    </row>
    <row r="153" ht="22.5" customHeight="1">
      <c r="A153" s="45" t="s">
        <v>217</v>
      </c>
      <c r="B153" s="52">
        <f>SUMIFS('Movimentação Estoque'!D:D,'Movimentação Estoque'!C:C,A153,'Movimentação Estoque'!B:B,"ENTRADA")</f>
        <v>2</v>
      </c>
      <c r="C153" s="52">
        <f>SUMIFS('Movimentação Estoque'!$D:$D,'Movimentação Estoque'!$C:$C,A153,'Movimentação Estoque'!$B:$B,"SAIDA")</f>
        <v>0</v>
      </c>
      <c r="D153" s="39">
        <f t="shared" si="1"/>
        <v>2</v>
      </c>
      <c r="E153" s="53"/>
    </row>
    <row r="154" ht="22.5" customHeight="1">
      <c r="A154" s="45" t="s">
        <v>218</v>
      </c>
      <c r="B154" s="52">
        <f>SUMIFS('Movimentação Estoque'!D:D,'Movimentação Estoque'!C:C,A154,'Movimentação Estoque'!B:B,"ENTRADA")</f>
        <v>1</v>
      </c>
      <c r="C154" s="52">
        <f>SUMIFS('Movimentação Estoque'!$D:$D,'Movimentação Estoque'!$C:$C,A154,'Movimentação Estoque'!$B:$B,"SAIDA")</f>
        <v>0</v>
      </c>
      <c r="D154" s="39">
        <f t="shared" si="1"/>
        <v>1</v>
      </c>
      <c r="E154" s="53"/>
    </row>
    <row r="155" ht="22.5" customHeight="1">
      <c r="A155" s="45" t="s">
        <v>219</v>
      </c>
      <c r="B155" s="52">
        <f>SUMIFS('Movimentação Estoque'!D:D,'Movimentação Estoque'!C:C,A155,'Movimentação Estoque'!B:B,"ENTRADA")</f>
        <v>4</v>
      </c>
      <c r="C155" s="52">
        <f>SUMIFS('Movimentação Estoque'!$D:$D,'Movimentação Estoque'!$C:$C,A155,'Movimentação Estoque'!$B:$B,"SAIDA")</f>
        <v>0</v>
      </c>
      <c r="D155" s="39">
        <f t="shared" si="1"/>
        <v>4</v>
      </c>
      <c r="E155" s="53"/>
    </row>
    <row r="156" ht="22.5" customHeight="1">
      <c r="A156" s="45" t="s">
        <v>220</v>
      </c>
      <c r="B156" s="52">
        <f>SUMIFS('Movimentação Estoque'!D:D,'Movimentação Estoque'!C:C,A156,'Movimentação Estoque'!B:B,"ENTRADA")</f>
        <v>19</v>
      </c>
      <c r="C156" s="52">
        <f>SUMIFS('Movimentação Estoque'!$D:$D,'Movimentação Estoque'!$C:$C,A156,'Movimentação Estoque'!$B:$B,"SAIDA")</f>
        <v>19</v>
      </c>
      <c r="D156" s="39">
        <f t="shared" si="1"/>
        <v>0</v>
      </c>
      <c r="E156" s="53"/>
    </row>
    <row r="157" ht="22.5" customHeight="1">
      <c r="A157" s="45" t="s">
        <v>221</v>
      </c>
      <c r="B157" s="52">
        <f>SUMIFS('Movimentação Estoque'!D:D,'Movimentação Estoque'!C:C,A157,'Movimentação Estoque'!B:B,"ENTRADA")</f>
        <v>0</v>
      </c>
      <c r="C157" s="52">
        <f>SUMIFS('Movimentação Estoque'!$D:$D,'Movimentação Estoque'!$C:$C,A157,'Movimentação Estoque'!$B:$B,"SAIDA")</f>
        <v>12</v>
      </c>
      <c r="D157" s="39">
        <f t="shared" si="1"/>
        <v>-12</v>
      </c>
      <c r="E157" s="53"/>
    </row>
    <row r="158" ht="22.5" customHeight="1">
      <c r="A158" s="45" t="s">
        <v>222</v>
      </c>
      <c r="B158" s="52">
        <f>SUMIFS('Movimentação Estoque'!D:D,'Movimentação Estoque'!C:C,A158,'Movimentação Estoque'!B:B,"ENTRADA")</f>
        <v>5</v>
      </c>
      <c r="C158" s="52">
        <f>SUMIFS('Movimentação Estoque'!$D:$D,'Movimentação Estoque'!$C:$C,A158,'Movimentação Estoque'!$B:$B,"SAIDA")</f>
        <v>0</v>
      </c>
      <c r="D158" s="39">
        <f t="shared" si="1"/>
        <v>5</v>
      </c>
      <c r="E158" s="53"/>
    </row>
    <row r="159" ht="22.5" customHeight="1">
      <c r="A159" s="45" t="s">
        <v>223</v>
      </c>
      <c r="B159" s="52">
        <f>SUMIFS('Movimentação Estoque'!D:D,'Movimentação Estoque'!C:C,A159,'Movimentação Estoque'!B:B,"ENTRADA")</f>
        <v>12</v>
      </c>
      <c r="C159" s="52">
        <f>SUMIFS('Movimentação Estoque'!$D:$D,'Movimentação Estoque'!$C:$C,A159,'Movimentação Estoque'!$B:$B,"SAIDA")</f>
        <v>2</v>
      </c>
      <c r="D159" s="39">
        <f t="shared" si="1"/>
        <v>10</v>
      </c>
      <c r="E159" s="53"/>
    </row>
    <row r="160" ht="22.5" customHeight="1">
      <c r="A160" s="45" t="s">
        <v>224</v>
      </c>
      <c r="B160" s="52">
        <f>SUMIFS('Movimentação Estoque'!D:D,'Movimentação Estoque'!C:C,A160,'Movimentação Estoque'!B:B,"ENTRADA")</f>
        <v>1</v>
      </c>
      <c r="C160" s="52">
        <f>SUMIFS('Movimentação Estoque'!$D:$D,'Movimentação Estoque'!$C:$C,A160,'Movimentação Estoque'!$B:$B,"SAIDA")</f>
        <v>0</v>
      </c>
      <c r="D160" s="39">
        <f t="shared" si="1"/>
        <v>1</v>
      </c>
      <c r="E160" s="53"/>
    </row>
    <row r="161" ht="22.5" customHeight="1">
      <c r="A161" s="45" t="s">
        <v>225</v>
      </c>
      <c r="B161" s="52">
        <f>SUMIFS('Movimentação Estoque'!D:D,'Movimentação Estoque'!C:C,A161,'Movimentação Estoque'!B:B,"ENTRADA")</f>
        <v>23</v>
      </c>
      <c r="C161" s="52">
        <f>SUMIFS('Movimentação Estoque'!$D:$D,'Movimentação Estoque'!$C:$C,A161,'Movimentação Estoque'!$B:$B,"SAIDA")</f>
        <v>0</v>
      </c>
      <c r="D161" s="39">
        <f t="shared" si="1"/>
        <v>23</v>
      </c>
      <c r="E161" s="53"/>
    </row>
    <row r="162" ht="22.5" customHeight="1">
      <c r="A162" s="45" t="s">
        <v>226</v>
      </c>
      <c r="B162" s="52">
        <f>SUMIFS('Movimentação Estoque'!D:D,'Movimentação Estoque'!C:C,A162,'Movimentação Estoque'!B:B,"ENTRADA")</f>
        <v>30</v>
      </c>
      <c r="C162" s="52">
        <f>SUMIFS('Movimentação Estoque'!$D:$D,'Movimentação Estoque'!$C:$C,A162,'Movimentação Estoque'!$B:$B,"SAIDA")</f>
        <v>0</v>
      </c>
      <c r="D162" s="39">
        <f t="shared" si="1"/>
        <v>30</v>
      </c>
      <c r="E162" s="53"/>
    </row>
    <row r="163" ht="22.5" customHeight="1">
      <c r="A163" s="45" t="s">
        <v>227</v>
      </c>
      <c r="B163" s="52">
        <f>SUMIFS('Movimentação Estoque'!D:D,'Movimentação Estoque'!C:C,A163,'Movimentação Estoque'!B:B,"ENTRADA")</f>
        <v>2</v>
      </c>
      <c r="C163" s="52">
        <f>SUMIFS('Movimentação Estoque'!$D:$D,'Movimentação Estoque'!$C:$C,A163,'Movimentação Estoque'!$B:$B,"SAIDA")</f>
        <v>0</v>
      </c>
      <c r="D163" s="39">
        <f t="shared" si="1"/>
        <v>2</v>
      </c>
      <c r="E163" s="53"/>
    </row>
    <row r="164" ht="22.5" customHeight="1">
      <c r="A164" s="45" t="s">
        <v>228</v>
      </c>
      <c r="B164" s="52">
        <f>SUMIFS('Movimentação Estoque'!D:D,'Movimentação Estoque'!C:C,A164,'Movimentação Estoque'!B:B,"ENTRADA")</f>
        <v>18</v>
      </c>
      <c r="C164" s="52">
        <f>SUMIFS('Movimentação Estoque'!$D:$D,'Movimentação Estoque'!$C:$C,A164,'Movimentação Estoque'!$B:$B,"SAIDA")</f>
        <v>0</v>
      </c>
      <c r="D164" s="39">
        <f t="shared" si="1"/>
        <v>18</v>
      </c>
      <c r="E164" s="53"/>
    </row>
    <row r="165" ht="22.5" customHeight="1">
      <c r="A165" s="45" t="s">
        <v>229</v>
      </c>
      <c r="B165" s="52">
        <f>SUMIFS('Movimentação Estoque'!D:D,'Movimentação Estoque'!C:C,A165,'Movimentação Estoque'!B:B,"ENTRADA")</f>
        <v>2</v>
      </c>
      <c r="C165" s="52">
        <f>SUMIFS('Movimentação Estoque'!$D:$D,'Movimentação Estoque'!$C:$C,A165,'Movimentação Estoque'!$B:$B,"SAIDA")</f>
        <v>0</v>
      </c>
      <c r="D165" s="39">
        <f t="shared" si="1"/>
        <v>2</v>
      </c>
      <c r="E165" s="53"/>
    </row>
    <row r="166" ht="22.5" customHeight="1">
      <c r="A166" s="45" t="s">
        <v>230</v>
      </c>
      <c r="B166" s="52">
        <f>SUMIFS('Movimentação Estoque'!D:D,'Movimentação Estoque'!C:C,A166,'Movimentação Estoque'!B:B,"ENTRADA")</f>
        <v>13</v>
      </c>
      <c r="C166" s="52">
        <f>SUMIFS('Movimentação Estoque'!$D:$D,'Movimentação Estoque'!$C:$C,A166,'Movimentação Estoque'!$B:$B,"SAIDA")</f>
        <v>10</v>
      </c>
      <c r="D166" s="39">
        <f t="shared" si="1"/>
        <v>3</v>
      </c>
      <c r="E166" s="53"/>
    </row>
    <row r="167" ht="22.5" customHeight="1">
      <c r="A167" s="45" t="s">
        <v>231</v>
      </c>
      <c r="B167" s="52">
        <f>SUMIFS('Movimentação Estoque'!D:D,'Movimentação Estoque'!C:C,A167,'Movimentação Estoque'!B:B,"ENTRADA")</f>
        <v>12</v>
      </c>
      <c r="C167" s="52">
        <f>SUMIFS('Movimentação Estoque'!$D:$D,'Movimentação Estoque'!$C:$C,A167,'Movimentação Estoque'!$B:$B,"SAIDA")</f>
        <v>0</v>
      </c>
      <c r="D167" s="39">
        <f t="shared" si="1"/>
        <v>12</v>
      </c>
      <c r="E167" s="53"/>
    </row>
    <row r="168" ht="22.5" customHeight="1">
      <c r="A168" s="45" t="s">
        <v>232</v>
      </c>
      <c r="B168" s="52">
        <f>SUMIFS('Movimentação Estoque'!D:D,'Movimentação Estoque'!C:C,A168,'Movimentação Estoque'!B:B,"ENTRADA")</f>
        <v>20</v>
      </c>
      <c r="C168" s="52">
        <f>SUMIFS('Movimentação Estoque'!$D:$D,'Movimentação Estoque'!$C:$C,A168,'Movimentação Estoque'!$B:$B,"SAIDA")</f>
        <v>0</v>
      </c>
      <c r="D168" s="39">
        <f t="shared" si="1"/>
        <v>20</v>
      </c>
      <c r="E168" s="53"/>
    </row>
    <row r="169" ht="22.5" customHeight="1">
      <c r="A169" s="45" t="s">
        <v>233</v>
      </c>
      <c r="B169" s="52">
        <f>SUMIFS('Movimentação Estoque'!D:D,'Movimentação Estoque'!C:C,A169,'Movimentação Estoque'!B:B,"ENTRADA")</f>
        <v>3</v>
      </c>
      <c r="C169" s="52">
        <f>SUMIFS('Movimentação Estoque'!$D:$D,'Movimentação Estoque'!$C:$C,A169,'Movimentação Estoque'!$B:$B,"SAIDA")</f>
        <v>0</v>
      </c>
      <c r="D169" s="39">
        <f t="shared" si="1"/>
        <v>3</v>
      </c>
      <c r="E169" s="53"/>
    </row>
    <row r="170" ht="22.5" customHeight="1">
      <c r="A170" s="45" t="s">
        <v>234</v>
      </c>
      <c r="B170" s="52">
        <f>SUMIFS('Movimentação Estoque'!D:D,'Movimentação Estoque'!C:C,A170,'Movimentação Estoque'!B:B,"ENTRADA")</f>
        <v>25</v>
      </c>
      <c r="C170" s="52">
        <f>SUMIFS('Movimentação Estoque'!$D:$D,'Movimentação Estoque'!$C:$C,A170,'Movimentação Estoque'!$B:$B,"SAIDA")</f>
        <v>0</v>
      </c>
      <c r="D170" s="39">
        <f t="shared" si="1"/>
        <v>25</v>
      </c>
      <c r="E170" s="53"/>
    </row>
    <row r="171" ht="22.5" customHeight="1">
      <c r="A171" s="45" t="s">
        <v>235</v>
      </c>
      <c r="B171" s="52">
        <f>SUMIFS('Movimentação Estoque'!D:D,'Movimentação Estoque'!C:C,A171,'Movimentação Estoque'!B:B,"ENTRADA")</f>
        <v>16</v>
      </c>
      <c r="C171" s="52">
        <f>SUMIFS('Movimentação Estoque'!$D:$D,'Movimentação Estoque'!$C:$C,A171,'Movimentação Estoque'!$B:$B,"SAIDA")</f>
        <v>5</v>
      </c>
      <c r="D171" s="39">
        <f t="shared" si="1"/>
        <v>11</v>
      </c>
      <c r="E171" s="53"/>
    </row>
    <row r="172" ht="22.5" customHeight="1">
      <c r="A172" s="45" t="s">
        <v>236</v>
      </c>
      <c r="B172" s="52">
        <f>SUMIFS('Movimentação Estoque'!D:D,'Movimentação Estoque'!C:C,A172,'Movimentação Estoque'!B:B,"ENTRADA")</f>
        <v>18</v>
      </c>
      <c r="C172" s="52">
        <f>SUMIFS('Movimentação Estoque'!$D:$D,'Movimentação Estoque'!$C:$C,A172,'Movimentação Estoque'!$B:$B,"SAIDA")</f>
        <v>6</v>
      </c>
      <c r="D172" s="39">
        <f t="shared" si="1"/>
        <v>12</v>
      </c>
      <c r="E172" s="53"/>
    </row>
    <row r="173" ht="22.5" customHeight="1">
      <c r="A173" s="45" t="s">
        <v>237</v>
      </c>
      <c r="B173" s="52">
        <f>SUMIFS('Movimentação Estoque'!D:D,'Movimentação Estoque'!C:C,A173,'Movimentação Estoque'!B:B,"ENTRADA")</f>
        <v>16</v>
      </c>
      <c r="C173" s="52">
        <f>SUMIFS('Movimentação Estoque'!$D:$D,'Movimentação Estoque'!$C:$C,A173,'Movimentação Estoque'!$B:$B,"SAIDA")</f>
        <v>4</v>
      </c>
      <c r="D173" s="39">
        <f t="shared" si="1"/>
        <v>12</v>
      </c>
      <c r="E173" s="53"/>
    </row>
    <row r="174" ht="22.5" customHeight="1">
      <c r="A174" s="45" t="s">
        <v>238</v>
      </c>
      <c r="B174" s="52">
        <f>SUMIFS('Movimentação Estoque'!D:D,'Movimentação Estoque'!C:C,A174,'Movimentação Estoque'!B:B,"ENTRADA")</f>
        <v>100</v>
      </c>
      <c r="C174" s="52">
        <f>SUMIFS('Movimentação Estoque'!$D:$D,'Movimentação Estoque'!$C:$C,A174,'Movimentação Estoque'!$B:$B,"SAIDA")</f>
        <v>93</v>
      </c>
      <c r="D174" s="39">
        <f t="shared" si="1"/>
        <v>7</v>
      </c>
      <c r="E174" s="53"/>
    </row>
    <row r="175" ht="22.5" customHeight="1">
      <c r="A175" s="45" t="s">
        <v>240</v>
      </c>
      <c r="B175" s="52">
        <f>SUMIFS('Movimentação Estoque'!D:D,'Movimentação Estoque'!C:C,A175,'Movimentação Estoque'!B:B,"ENTRADA")</f>
        <v>100</v>
      </c>
      <c r="C175" s="52">
        <f>SUMIFS('Movimentação Estoque'!$D:$D,'Movimentação Estoque'!$C:$C,A175,'Movimentação Estoque'!$B:$B,"SAIDA")</f>
        <v>94</v>
      </c>
      <c r="D175" s="39">
        <f t="shared" si="1"/>
        <v>6</v>
      </c>
      <c r="E175" s="53"/>
    </row>
    <row r="176" ht="22.5" customHeight="1">
      <c r="A176" s="45" t="s">
        <v>241</v>
      </c>
      <c r="B176" s="52">
        <f>SUMIFS('Movimentação Estoque'!D:D,'Movimentação Estoque'!C:C,A176,'Movimentação Estoque'!B:B,"ENTRADA")</f>
        <v>100</v>
      </c>
      <c r="C176" s="52">
        <f>SUMIFS('Movimentação Estoque'!$D:$D,'Movimentação Estoque'!$C:$C,A176,'Movimentação Estoque'!$B:$B,"SAIDA")</f>
        <v>79</v>
      </c>
      <c r="D176" s="39">
        <f t="shared" si="1"/>
        <v>21</v>
      </c>
      <c r="E176" s="53"/>
      <c r="G176" s="20">
        <v>72.0</v>
      </c>
    </row>
    <row r="177" ht="22.5" customHeight="1">
      <c r="A177" s="45" t="s">
        <v>242</v>
      </c>
      <c r="B177" s="52">
        <f>SUMIFS('Movimentação Estoque'!D:D,'Movimentação Estoque'!C:C,A177,'Movimentação Estoque'!B:B,"ENTRADA")</f>
        <v>24</v>
      </c>
      <c r="C177" s="52">
        <f>SUMIFS('Movimentação Estoque'!$D:$D,'Movimentação Estoque'!$C:$C,A177,'Movimentação Estoque'!$B:$B,"SAIDA")</f>
        <v>7</v>
      </c>
      <c r="D177" s="39">
        <f t="shared" si="1"/>
        <v>17</v>
      </c>
      <c r="E177" s="53"/>
    </row>
    <row r="178" ht="22.5" customHeight="1">
      <c r="A178" s="45" t="s">
        <v>243</v>
      </c>
      <c r="B178" s="52">
        <f>SUMIFS('Movimentação Estoque'!D:D,'Movimentação Estoque'!C:C,A178,'Movimentação Estoque'!B:B,"ENTRADA")</f>
        <v>30</v>
      </c>
      <c r="C178" s="52">
        <f>SUMIFS('Movimentação Estoque'!$D:$D,'Movimentação Estoque'!$C:$C,A178,'Movimentação Estoque'!$B:$B,"SAIDA")</f>
        <v>30</v>
      </c>
      <c r="D178" s="39">
        <f t="shared" si="1"/>
        <v>0</v>
      </c>
      <c r="E178" s="53"/>
    </row>
    <row r="179" ht="22.5" customHeight="1">
      <c r="A179" s="45" t="s">
        <v>244</v>
      </c>
      <c r="B179" s="52">
        <f>SUMIFS('Movimentação Estoque'!D:D,'Movimentação Estoque'!C:C,A179,'Movimentação Estoque'!B:B,"ENTRADA")</f>
        <v>100</v>
      </c>
      <c r="C179" s="52">
        <f>SUMIFS('Movimentação Estoque'!$D:$D,'Movimentação Estoque'!$C:$C,A179,'Movimentação Estoque'!$B:$B,"SAIDA")</f>
        <v>17</v>
      </c>
      <c r="D179" s="39">
        <f t="shared" si="1"/>
        <v>83</v>
      </c>
      <c r="E179" s="53"/>
    </row>
    <row r="180" ht="22.5" customHeight="1">
      <c r="A180" s="45" t="s">
        <v>245</v>
      </c>
      <c r="B180" s="52">
        <f>SUMIFS('Movimentação Estoque'!D:D,'Movimentação Estoque'!C:C,A180,'Movimentação Estoque'!B:B,"ENTRADA")</f>
        <v>11</v>
      </c>
      <c r="C180" s="52">
        <f>SUMIFS('Movimentação Estoque'!$D:$D,'Movimentação Estoque'!$C:$C,A180,'Movimentação Estoque'!$B:$B,"SAIDA")</f>
        <v>7</v>
      </c>
      <c r="D180" s="39">
        <f t="shared" si="1"/>
        <v>4</v>
      </c>
      <c r="E180" s="53"/>
    </row>
    <row r="181" ht="22.5" customHeight="1">
      <c r="A181" s="45" t="s">
        <v>246</v>
      </c>
      <c r="B181" s="52">
        <f>SUMIFS('Movimentação Estoque'!D:D,'Movimentação Estoque'!C:C,A181,'Movimentação Estoque'!B:B,"ENTRADA")</f>
        <v>4</v>
      </c>
      <c r="C181" s="52">
        <f>SUMIFS('Movimentação Estoque'!$D:$D,'Movimentação Estoque'!$C:$C,A181,'Movimentação Estoque'!$B:$B,"SAIDA")</f>
        <v>3</v>
      </c>
      <c r="D181" s="39">
        <f t="shared" si="1"/>
        <v>1</v>
      </c>
      <c r="E181" s="53"/>
    </row>
    <row r="182" ht="22.5" customHeight="1">
      <c r="A182" s="45" t="s">
        <v>247</v>
      </c>
      <c r="B182" s="52">
        <f>SUMIFS('Movimentação Estoque'!D:D,'Movimentação Estoque'!C:C,A182,'Movimentação Estoque'!B:B,"ENTRADA")</f>
        <v>12</v>
      </c>
      <c r="C182" s="52">
        <f>SUMIFS('Movimentação Estoque'!$D:$D,'Movimentação Estoque'!$C:$C,A182,'Movimentação Estoque'!$B:$B,"SAIDA")</f>
        <v>8</v>
      </c>
      <c r="D182" s="39">
        <f t="shared" si="1"/>
        <v>4</v>
      </c>
      <c r="E182" s="53"/>
    </row>
    <row r="183" ht="22.5" customHeight="1">
      <c r="A183" s="45" t="s">
        <v>248</v>
      </c>
      <c r="B183" s="52">
        <f>SUMIFS('Movimentação Estoque'!D:D,'Movimentação Estoque'!C:C,A183,'Movimentação Estoque'!B:B,"ENTRADA")</f>
        <v>12</v>
      </c>
      <c r="C183" s="52">
        <f>SUMIFS('Movimentação Estoque'!$D:$D,'Movimentação Estoque'!$C:$C,A183,'Movimentação Estoque'!$B:$B,"SAIDA")</f>
        <v>10</v>
      </c>
      <c r="D183" s="39">
        <f t="shared" si="1"/>
        <v>2</v>
      </c>
      <c r="E183" s="53"/>
    </row>
    <row r="184" ht="22.5" customHeight="1">
      <c r="A184" s="45" t="s">
        <v>249</v>
      </c>
      <c r="B184" s="52">
        <f>SUMIFS('Movimentação Estoque'!D:D,'Movimentação Estoque'!C:C,A184,'Movimentação Estoque'!B:B,"ENTRADA")</f>
        <v>100</v>
      </c>
      <c r="C184" s="52">
        <f>SUMIFS('Movimentação Estoque'!$D:$D,'Movimentação Estoque'!$C:$C,A184,'Movimentação Estoque'!$B:$B,"SAIDA")</f>
        <v>28</v>
      </c>
      <c r="D184" s="39">
        <f t="shared" si="1"/>
        <v>72</v>
      </c>
      <c r="E184" s="53"/>
    </row>
    <row r="185" ht="22.5" customHeight="1">
      <c r="A185" s="45"/>
      <c r="B185" s="52">
        <f>SUMIFS('Movimentação Estoque'!D:D,'Movimentação Estoque'!C:C,A185,'Movimentação Estoque'!B:B,"ENTRADA")</f>
        <v>0</v>
      </c>
      <c r="C185" s="52">
        <f>SUMIFS('Movimentação Estoque'!$D:$D,'Movimentação Estoque'!$C:$C,A185,'Movimentação Estoque'!$B:$B,"SAIDA")</f>
        <v>0</v>
      </c>
      <c r="D185" s="39">
        <f t="shared" si="1"/>
        <v>0</v>
      </c>
      <c r="E185" s="53"/>
    </row>
    <row r="186" ht="22.5" customHeight="1">
      <c r="A186" s="45"/>
      <c r="B186" s="52">
        <f>SUMIFS('Movimentação Estoque'!D:D,'Movimentação Estoque'!C:C,A186,'Movimentação Estoque'!B:B,"ENTRADA")</f>
        <v>0</v>
      </c>
      <c r="C186" s="52">
        <f>SUMIFS('Movimentação Estoque'!$D:$D,'Movimentação Estoque'!$C:$C,A186,'Movimentação Estoque'!$B:$B,"SAIDA")</f>
        <v>0</v>
      </c>
      <c r="D186" s="39">
        <f t="shared" si="1"/>
        <v>0</v>
      </c>
      <c r="E186" s="53"/>
    </row>
    <row r="187" ht="22.5" customHeight="1">
      <c r="A187" s="45"/>
      <c r="B187" s="52">
        <f>SUMIFS('Movimentação Estoque'!D:D,'Movimentação Estoque'!C:C,A187,'Movimentação Estoque'!B:B,"ENTRADA")</f>
        <v>0</v>
      </c>
      <c r="C187" s="52">
        <f>SUMIFS('Movimentação Estoque'!$D:$D,'Movimentação Estoque'!$C:$C,A187,'Movimentação Estoque'!$B:$B,"SAIDA")</f>
        <v>0</v>
      </c>
      <c r="D187" s="39">
        <f t="shared" si="1"/>
        <v>0</v>
      </c>
      <c r="E187" s="53"/>
    </row>
    <row r="188" ht="22.5" customHeight="1">
      <c r="A188" s="45"/>
      <c r="B188" s="52">
        <f>SUMIFS('Movimentação Estoque'!D:D,'Movimentação Estoque'!C:C,A188,'Movimentação Estoque'!B:B,"ENTRADA")</f>
        <v>0</v>
      </c>
      <c r="C188" s="52">
        <f>SUMIFS('Movimentação Estoque'!$D:$D,'Movimentação Estoque'!$C:$C,A188,'Movimentação Estoque'!$B:$B,"SAIDA")</f>
        <v>0</v>
      </c>
      <c r="D188" s="39">
        <f t="shared" si="1"/>
        <v>0</v>
      </c>
      <c r="E188" s="53"/>
    </row>
    <row r="189" ht="22.5" customHeight="1">
      <c r="A189" s="45"/>
      <c r="B189" s="52">
        <f>SUMIFS('Movimentação Estoque'!D:D,'Movimentação Estoque'!C:C,A189,'Movimentação Estoque'!B:B,"ENTRADA")</f>
        <v>0</v>
      </c>
      <c r="C189" s="52">
        <f>SUMIFS('Movimentação Estoque'!$D:$D,'Movimentação Estoque'!$C:$C,A189,'Movimentação Estoque'!$B:$B,"SAIDA")</f>
        <v>0</v>
      </c>
      <c r="D189" s="39">
        <f t="shared" si="1"/>
        <v>0</v>
      </c>
      <c r="E189" s="53"/>
    </row>
    <row r="190" ht="22.5" customHeight="1">
      <c r="A190" s="45"/>
      <c r="B190" s="52">
        <f>SUMIFS('Movimentação Estoque'!D:D,'Movimentação Estoque'!C:C,A190,'Movimentação Estoque'!B:B,"ENTRADA")</f>
        <v>0</v>
      </c>
      <c r="C190" s="52">
        <f>SUMIFS('Movimentação Estoque'!$D:$D,'Movimentação Estoque'!$C:$C,A190,'Movimentação Estoque'!$B:$B,"SAIDA")</f>
        <v>0</v>
      </c>
      <c r="D190" s="39">
        <f t="shared" si="1"/>
        <v>0</v>
      </c>
      <c r="E190" s="53"/>
    </row>
    <row r="191" ht="22.5" customHeight="1">
      <c r="A191" s="45"/>
      <c r="B191" s="52">
        <f>SUMIFS('Movimentação Estoque'!D:D,'Movimentação Estoque'!C:C,A191,'Movimentação Estoque'!B:B,"ENTRADA")</f>
        <v>0</v>
      </c>
      <c r="C191" s="52">
        <f>SUMIFS('Movimentação Estoque'!$D:$D,'Movimentação Estoque'!$C:$C,A191,'Movimentação Estoque'!$B:$B,"SAIDA")</f>
        <v>0</v>
      </c>
      <c r="D191" s="39">
        <f t="shared" si="1"/>
        <v>0</v>
      </c>
      <c r="E191" s="53"/>
    </row>
    <row r="192" ht="22.5" customHeight="1">
      <c r="A192" s="45"/>
      <c r="B192" s="52">
        <f>SUMIFS('Movimentação Estoque'!D:D,'Movimentação Estoque'!C:C,A192,'Movimentação Estoque'!B:B,"ENTRADA")</f>
        <v>0</v>
      </c>
      <c r="C192" s="52">
        <f>SUMIFS('Movimentação Estoque'!$D:$D,'Movimentação Estoque'!$C:$C,A192,'Movimentação Estoque'!$B:$B,"SAIDA")</f>
        <v>0</v>
      </c>
      <c r="D192" s="39">
        <f t="shared" si="1"/>
        <v>0</v>
      </c>
      <c r="E192" s="53"/>
    </row>
    <row r="193" ht="22.5" customHeight="1">
      <c r="A193" s="45"/>
      <c r="B193" s="52">
        <f>SUMIFS('Movimentação Estoque'!D:D,'Movimentação Estoque'!C:C,A193,'Movimentação Estoque'!B:B,"ENTRADA")</f>
        <v>0</v>
      </c>
      <c r="C193" s="52">
        <f>SUMIFS('Movimentação Estoque'!$D:$D,'Movimentação Estoque'!$C:$C,A193,'Movimentação Estoque'!$B:$B,"SAIDA")</f>
        <v>0</v>
      </c>
      <c r="D193" s="39">
        <f t="shared" si="1"/>
        <v>0</v>
      </c>
      <c r="E193" s="53"/>
    </row>
    <row r="194" ht="22.5" customHeight="1">
      <c r="A194" s="45"/>
      <c r="B194" s="52">
        <f>SUMIFS('Movimentação Estoque'!D:D,'Movimentação Estoque'!C:C,A194,'Movimentação Estoque'!B:B,"ENTRADA")</f>
        <v>0</v>
      </c>
      <c r="C194" s="52">
        <f>SUMIFS('Movimentação Estoque'!$D:$D,'Movimentação Estoque'!$C:$C,A194,'Movimentação Estoque'!$B:$B,"SAIDA")</f>
        <v>0</v>
      </c>
      <c r="D194" s="39">
        <f t="shared" si="1"/>
        <v>0</v>
      </c>
      <c r="E194" s="53"/>
    </row>
    <row r="195" ht="22.5" customHeight="1">
      <c r="A195" s="45"/>
      <c r="B195" s="52">
        <f>SUMIFS('Movimentação Estoque'!D:D,'Movimentação Estoque'!C:C,A195,'Movimentação Estoque'!B:B,"ENTRADA")</f>
        <v>0</v>
      </c>
      <c r="C195" s="52">
        <f>SUMIFS('Movimentação Estoque'!$D:$D,'Movimentação Estoque'!$C:$C,A195,'Movimentação Estoque'!$B:$B,"SAIDA")</f>
        <v>0</v>
      </c>
      <c r="D195" s="39">
        <f t="shared" si="1"/>
        <v>0</v>
      </c>
      <c r="E195" s="53"/>
    </row>
    <row r="196" ht="22.5" customHeight="1">
      <c r="A196" s="45"/>
      <c r="B196" s="52">
        <f>SUMIFS('Movimentação Estoque'!D:D,'Movimentação Estoque'!C:C,A196,'Movimentação Estoque'!B:B,"ENTRADA")</f>
        <v>0</v>
      </c>
      <c r="C196" s="52">
        <f>SUMIFS('Movimentação Estoque'!$D:$D,'Movimentação Estoque'!$C:$C,A196,'Movimentação Estoque'!$B:$B,"SAIDA")</f>
        <v>0</v>
      </c>
      <c r="D196" s="39">
        <f t="shared" si="1"/>
        <v>0</v>
      </c>
      <c r="E196" s="53"/>
    </row>
    <row r="197" ht="22.5" customHeight="1">
      <c r="A197" s="45"/>
      <c r="B197" s="52">
        <f>SUMIFS('Movimentação Estoque'!D:D,'Movimentação Estoque'!C:C,A197,'Movimentação Estoque'!B:B,"ENTRADA")</f>
        <v>0</v>
      </c>
      <c r="C197" s="52">
        <f>SUMIFS('Movimentação Estoque'!$D:$D,'Movimentação Estoque'!$C:$C,A197,'Movimentação Estoque'!$B:$B,"SAIDA")</f>
        <v>0</v>
      </c>
      <c r="D197" s="39">
        <f t="shared" si="1"/>
        <v>0</v>
      </c>
      <c r="E197" s="53"/>
    </row>
    <row r="198" ht="22.5" customHeight="1">
      <c r="A198" s="45"/>
      <c r="B198" s="52">
        <f>SUMIFS('Movimentação Estoque'!D:D,'Movimentação Estoque'!C:C,A198,'Movimentação Estoque'!B:B,"ENTRADA")</f>
        <v>0</v>
      </c>
      <c r="C198" s="52">
        <f>SUMIFS('Movimentação Estoque'!$D:$D,'Movimentação Estoque'!$C:$C,A198,'Movimentação Estoque'!$B:$B,"SAIDA")</f>
        <v>0</v>
      </c>
      <c r="D198" s="39">
        <f t="shared" si="1"/>
        <v>0</v>
      </c>
      <c r="E198" s="53"/>
    </row>
    <row r="199" ht="22.5" customHeight="1">
      <c r="A199" s="45"/>
      <c r="B199" s="52">
        <f>SUMIFS('Movimentação Estoque'!D:D,'Movimentação Estoque'!C:C,A199,'Movimentação Estoque'!B:B,"ENTRADA")</f>
        <v>0</v>
      </c>
      <c r="C199" s="52">
        <f>SUMIFS('Movimentação Estoque'!$D:$D,'Movimentação Estoque'!$C:$C,A199,'Movimentação Estoque'!$B:$B,"SAIDA")</f>
        <v>0</v>
      </c>
      <c r="D199" s="39">
        <f t="shared" si="1"/>
        <v>0</v>
      </c>
      <c r="E199" s="53"/>
    </row>
    <row r="200" ht="22.5" customHeight="1">
      <c r="A200" s="45"/>
      <c r="B200" s="52">
        <f>SUMIFS('Movimentação Estoque'!D:D,'Movimentação Estoque'!C:C,A200,'Movimentação Estoque'!B:B,"ENTRADA")</f>
        <v>0</v>
      </c>
      <c r="C200" s="52">
        <f>SUMIFS('Movimentação Estoque'!$D:$D,'Movimentação Estoque'!$C:$C,A200,'Movimentação Estoque'!$B:$B,"SAIDA")</f>
        <v>0</v>
      </c>
      <c r="D200" s="39">
        <f t="shared" si="1"/>
        <v>0</v>
      </c>
      <c r="E200" s="53"/>
    </row>
    <row r="201" ht="22.5" customHeight="1">
      <c r="A201" s="45"/>
      <c r="B201" s="52">
        <f>SUMIFS('Movimentação Estoque'!D:D,'Movimentação Estoque'!C:C,A201,'Movimentação Estoque'!B:B,"ENTRADA")</f>
        <v>0</v>
      </c>
      <c r="C201" s="52">
        <f>SUMIFS('Movimentação Estoque'!$D:$D,'Movimentação Estoque'!$C:$C,A201,'Movimentação Estoque'!$B:$B,"SAIDA")</f>
        <v>0</v>
      </c>
      <c r="D201" s="39">
        <f t="shared" si="1"/>
        <v>0</v>
      </c>
      <c r="E201" s="53"/>
    </row>
    <row r="202" ht="22.5" customHeight="1">
      <c r="A202" s="45"/>
      <c r="B202" s="52">
        <f>SUMIFS('Movimentação Estoque'!D:D,'Movimentação Estoque'!C:C,A202,'Movimentação Estoque'!B:B,"ENTRADA")</f>
        <v>0</v>
      </c>
      <c r="C202" s="52">
        <f>SUMIFS('Movimentação Estoque'!$D:$D,'Movimentação Estoque'!$C:$C,A202,'Movimentação Estoque'!$B:$B,"SAIDA")</f>
        <v>0</v>
      </c>
      <c r="D202" s="39">
        <f t="shared" si="1"/>
        <v>0</v>
      </c>
      <c r="E202" s="53"/>
    </row>
    <row r="203" ht="22.5" customHeight="1">
      <c r="A203" s="45"/>
      <c r="B203" s="52">
        <f>SUMIFS('Movimentação Estoque'!D:D,'Movimentação Estoque'!C:C,A203,'Movimentação Estoque'!B:B,"ENTRADA")</f>
        <v>0</v>
      </c>
      <c r="C203" s="52">
        <f>SUMIFS('Movimentação Estoque'!$D:$D,'Movimentação Estoque'!$C:$C,A203,'Movimentação Estoque'!$B:$B,"SAIDA")</f>
        <v>0</v>
      </c>
      <c r="D203" s="39">
        <f t="shared" si="1"/>
        <v>0</v>
      </c>
      <c r="E203" s="53"/>
    </row>
    <row r="204" ht="22.5" customHeight="1">
      <c r="A204" s="45"/>
      <c r="B204" s="52">
        <f>SUMIFS('Movimentação Estoque'!D:D,'Movimentação Estoque'!C:C,A204,'Movimentação Estoque'!B:B,"ENTRADA")</f>
        <v>0</v>
      </c>
      <c r="C204" s="52">
        <f>SUMIFS('Movimentação Estoque'!$D:$D,'Movimentação Estoque'!$C:$C,A204,'Movimentação Estoque'!$B:$B,"SAIDA")</f>
        <v>0</v>
      </c>
      <c r="D204" s="39">
        <f t="shared" si="1"/>
        <v>0</v>
      </c>
      <c r="E204" s="53"/>
    </row>
    <row r="205" ht="22.5" customHeight="1">
      <c r="A205" s="45"/>
      <c r="B205" s="52">
        <f>SUMIFS('Movimentação Estoque'!D:D,'Movimentação Estoque'!C:C,A205,'Movimentação Estoque'!B:B,"ENTRADA")</f>
        <v>0</v>
      </c>
      <c r="C205" s="52">
        <f>SUMIFS('Movimentação Estoque'!$D:$D,'Movimentação Estoque'!$C:$C,A205,'Movimentação Estoque'!$B:$B,"SAIDA")</f>
        <v>0</v>
      </c>
      <c r="D205" s="39">
        <f t="shared" si="1"/>
        <v>0</v>
      </c>
      <c r="E205" s="53"/>
    </row>
    <row r="206" ht="22.5" customHeight="1">
      <c r="A206" s="45"/>
      <c r="B206" s="52">
        <f>SUMIFS('Movimentação Estoque'!D:D,'Movimentação Estoque'!C:C,A206,'Movimentação Estoque'!B:B,"ENTRADA")</f>
        <v>0</v>
      </c>
      <c r="C206" s="52">
        <f>SUMIFS('Movimentação Estoque'!$D:$D,'Movimentação Estoque'!$C:$C,A206,'Movimentação Estoque'!$B:$B,"SAIDA")</f>
        <v>0</v>
      </c>
      <c r="D206" s="39">
        <f t="shared" si="1"/>
        <v>0</v>
      </c>
      <c r="E206" s="53"/>
    </row>
    <row r="207" ht="22.5" customHeight="1">
      <c r="A207" s="45"/>
      <c r="B207" s="52">
        <f>SUMIFS('Movimentação Estoque'!D:D,'Movimentação Estoque'!C:C,A207,'Movimentação Estoque'!B:B,"ENTRADA")</f>
        <v>0</v>
      </c>
      <c r="C207" s="52">
        <f>SUMIFS('Movimentação Estoque'!$D:$D,'Movimentação Estoque'!$C:$C,A207,'Movimentação Estoque'!$B:$B,"SAIDA")</f>
        <v>0</v>
      </c>
      <c r="D207" s="39">
        <f t="shared" si="1"/>
        <v>0</v>
      </c>
      <c r="E207" s="53"/>
    </row>
    <row r="208" ht="22.5" customHeight="1">
      <c r="A208" s="45"/>
      <c r="B208" s="52">
        <f>SUMIFS('Movimentação Estoque'!D:D,'Movimentação Estoque'!C:C,A208,'Movimentação Estoque'!B:B,"ENTRADA")</f>
        <v>0</v>
      </c>
      <c r="C208" s="52">
        <f>SUMIFS('Movimentação Estoque'!$D:$D,'Movimentação Estoque'!$C:$C,A208,'Movimentação Estoque'!$B:$B,"SAIDA")</f>
        <v>0</v>
      </c>
      <c r="D208" s="39">
        <f t="shared" si="1"/>
        <v>0</v>
      </c>
      <c r="E208" s="53"/>
    </row>
    <row r="209" ht="22.5" customHeight="1">
      <c r="A209" s="45"/>
      <c r="B209" s="52">
        <f>SUMIFS('Movimentação Estoque'!D:D,'Movimentação Estoque'!C:C,A209,'Movimentação Estoque'!B:B,"ENTRADA")</f>
        <v>0</v>
      </c>
      <c r="C209" s="52">
        <f>SUMIFS('Movimentação Estoque'!$D:$D,'Movimentação Estoque'!$C:$C,A209,'Movimentação Estoque'!$B:$B,"SAIDA")</f>
        <v>0</v>
      </c>
      <c r="D209" s="39">
        <f t="shared" si="1"/>
        <v>0</v>
      </c>
      <c r="E209" s="53"/>
    </row>
    <row r="210" ht="22.5" customHeight="1">
      <c r="A210" s="45"/>
      <c r="B210" s="52">
        <f>SUMIFS('Movimentação Estoque'!D:D,'Movimentação Estoque'!C:C,A210,'Movimentação Estoque'!B:B,"ENTRADA")</f>
        <v>0</v>
      </c>
      <c r="C210" s="52">
        <f>SUMIFS('Movimentação Estoque'!$D:$D,'Movimentação Estoque'!$C:$C,A210,'Movimentação Estoque'!$B:$B,"SAIDA")</f>
        <v>0</v>
      </c>
      <c r="D210" s="39">
        <f t="shared" si="1"/>
        <v>0</v>
      </c>
      <c r="E210" s="53"/>
    </row>
    <row r="211" ht="22.5" customHeight="1">
      <c r="A211" s="45"/>
      <c r="B211" s="52">
        <f>SUMIFS('Movimentação Estoque'!D:D,'Movimentação Estoque'!C:C,A211,'Movimentação Estoque'!B:B,"ENTRADA")</f>
        <v>0</v>
      </c>
      <c r="C211" s="52">
        <f>SUMIFS('Movimentação Estoque'!$D:$D,'Movimentação Estoque'!$C:$C,A211,'Movimentação Estoque'!$B:$B,"SAIDA")</f>
        <v>0</v>
      </c>
      <c r="D211" s="39">
        <f t="shared" si="1"/>
        <v>0</v>
      </c>
      <c r="E211" s="53"/>
    </row>
    <row r="212" ht="22.5" customHeight="1">
      <c r="A212" s="45"/>
      <c r="B212" s="52">
        <f>SUMIFS('Movimentação Estoque'!D:D,'Movimentação Estoque'!C:C,A212,'Movimentação Estoque'!B:B,"ENTRADA")</f>
        <v>0</v>
      </c>
      <c r="C212" s="52">
        <f>SUMIFS('Movimentação Estoque'!$D:$D,'Movimentação Estoque'!$C:$C,A212,'Movimentação Estoque'!$B:$B,"SAIDA")</f>
        <v>0</v>
      </c>
      <c r="D212" s="39">
        <f t="shared" si="1"/>
        <v>0</v>
      </c>
      <c r="E212" s="53"/>
    </row>
    <row r="213" ht="22.5" customHeight="1">
      <c r="A213" s="45"/>
      <c r="B213" s="52">
        <f>SUMIFS('Movimentação Estoque'!D:D,'Movimentação Estoque'!C:C,A213,'Movimentação Estoque'!B:B,"ENTRADA")</f>
        <v>0</v>
      </c>
      <c r="C213" s="52">
        <f>SUMIFS('Movimentação Estoque'!$D:$D,'Movimentação Estoque'!$C:$C,A213,'Movimentação Estoque'!$B:$B,"SAIDA")</f>
        <v>0</v>
      </c>
      <c r="D213" s="39">
        <f t="shared" si="1"/>
        <v>0</v>
      </c>
      <c r="E213" s="53"/>
    </row>
    <row r="214" ht="22.5" customHeight="1">
      <c r="A214" s="45"/>
      <c r="B214" s="52">
        <f>SUMIFS('Movimentação Estoque'!D:D,'Movimentação Estoque'!C:C,A214,'Movimentação Estoque'!B:B,"ENTRADA")</f>
        <v>0</v>
      </c>
      <c r="C214" s="52">
        <f>SUMIFS('Movimentação Estoque'!$D:$D,'Movimentação Estoque'!$C:$C,A214,'Movimentação Estoque'!$B:$B,"SAIDA")</f>
        <v>0</v>
      </c>
      <c r="D214" s="39">
        <f t="shared" si="1"/>
        <v>0</v>
      </c>
      <c r="E214" s="53"/>
    </row>
    <row r="215" ht="22.5" customHeight="1">
      <c r="A215" s="45"/>
      <c r="B215" s="52">
        <f>SUMIFS('Movimentação Estoque'!D:D,'Movimentação Estoque'!C:C,A215,'Movimentação Estoque'!B:B,"ENTRADA")</f>
        <v>0</v>
      </c>
      <c r="C215" s="52">
        <f>SUMIFS('Movimentação Estoque'!$D:$D,'Movimentação Estoque'!$C:$C,A215,'Movimentação Estoque'!$B:$B,"SAIDA")</f>
        <v>0</v>
      </c>
      <c r="D215" s="39">
        <f t="shared" si="1"/>
        <v>0</v>
      </c>
      <c r="E215" s="53"/>
    </row>
    <row r="216" ht="22.5" customHeight="1">
      <c r="A216" s="45"/>
      <c r="B216" s="52">
        <f>SUMIFS('Movimentação Estoque'!D:D,'Movimentação Estoque'!C:C,A216,'Movimentação Estoque'!B:B,"ENTRADA")</f>
        <v>0</v>
      </c>
      <c r="C216" s="52">
        <f>SUMIFS('Movimentação Estoque'!$D:$D,'Movimentação Estoque'!$C:$C,A216,'Movimentação Estoque'!$B:$B,"SAIDA")</f>
        <v>0</v>
      </c>
      <c r="D216" s="39">
        <f t="shared" si="1"/>
        <v>0</v>
      </c>
      <c r="E216" s="53"/>
    </row>
    <row r="217" ht="22.5" customHeight="1">
      <c r="A217" s="45"/>
      <c r="B217" s="52">
        <f>SUMIFS('Movimentação Estoque'!D:D,'Movimentação Estoque'!C:C,A217,'Movimentação Estoque'!B:B,"ENTRADA")</f>
        <v>0</v>
      </c>
      <c r="C217" s="52">
        <f>SUMIFS('Movimentação Estoque'!$D:$D,'Movimentação Estoque'!$C:$C,A217,'Movimentação Estoque'!$B:$B,"SAIDA")</f>
        <v>0</v>
      </c>
      <c r="D217" s="39">
        <f t="shared" si="1"/>
        <v>0</v>
      </c>
      <c r="E217" s="53"/>
    </row>
    <row r="218" ht="22.5" customHeight="1">
      <c r="A218" s="45"/>
      <c r="B218" s="52">
        <f>SUMIFS('Movimentação Estoque'!D:D,'Movimentação Estoque'!C:C,A218,'Movimentação Estoque'!B:B,"ENTRADA")</f>
        <v>0</v>
      </c>
      <c r="C218" s="52">
        <f>SUMIFS('Movimentação Estoque'!$D:$D,'Movimentação Estoque'!$C:$C,A218,'Movimentação Estoque'!$B:$B,"SAIDA")</f>
        <v>0</v>
      </c>
      <c r="D218" s="39">
        <f t="shared" si="1"/>
        <v>0</v>
      </c>
      <c r="E218" s="53"/>
    </row>
    <row r="219" ht="22.5" customHeight="1">
      <c r="A219" s="45"/>
      <c r="B219" s="52">
        <f>SUMIFS('Movimentação Estoque'!D:D,'Movimentação Estoque'!C:C,A219,'Movimentação Estoque'!B:B,"ENTRADA")</f>
        <v>0</v>
      </c>
      <c r="C219" s="52">
        <f>SUMIFS('Movimentação Estoque'!$D:$D,'Movimentação Estoque'!$C:$C,A219,'Movimentação Estoque'!$B:$B,"SAIDA")</f>
        <v>0</v>
      </c>
      <c r="D219" s="39">
        <f t="shared" si="1"/>
        <v>0</v>
      </c>
      <c r="E219" s="53"/>
    </row>
    <row r="220" ht="22.5" customHeight="1">
      <c r="A220" s="45"/>
      <c r="B220" s="52">
        <f>SUMIFS('Movimentação Estoque'!D:D,'Movimentação Estoque'!C:C,A220,'Movimentação Estoque'!B:B,"ENTRADA")</f>
        <v>0</v>
      </c>
      <c r="C220" s="52">
        <f>SUMIFS('Movimentação Estoque'!$D:$D,'Movimentação Estoque'!$C:$C,A220,'Movimentação Estoque'!$B:$B,"SAIDA")</f>
        <v>0</v>
      </c>
      <c r="D220" s="39">
        <f t="shared" si="1"/>
        <v>0</v>
      </c>
      <c r="E220" s="53"/>
    </row>
    <row r="221" ht="22.5" customHeight="1">
      <c r="A221" s="45"/>
      <c r="B221" s="52">
        <f>SUMIFS('Movimentação Estoque'!D:D,'Movimentação Estoque'!C:C,A221,'Movimentação Estoque'!B:B,"ENTRADA")</f>
        <v>0</v>
      </c>
      <c r="C221" s="52">
        <f>SUMIFS('Movimentação Estoque'!$D:$D,'Movimentação Estoque'!$C:$C,A221,'Movimentação Estoque'!$B:$B,"SAIDA")</f>
        <v>0</v>
      </c>
      <c r="D221" s="39">
        <f t="shared" si="1"/>
        <v>0</v>
      </c>
      <c r="E221" s="53"/>
    </row>
    <row r="222" ht="22.5" customHeight="1">
      <c r="A222" s="45"/>
      <c r="B222" s="52">
        <f>SUMIFS('Movimentação Estoque'!D:D,'Movimentação Estoque'!C:C,A222,'Movimentação Estoque'!B:B,"ENTRADA")</f>
        <v>0</v>
      </c>
      <c r="C222" s="52">
        <f>SUMIFS('Movimentação Estoque'!$D:$D,'Movimentação Estoque'!$C:$C,A222,'Movimentação Estoque'!$B:$B,"SAIDA")</f>
        <v>0</v>
      </c>
      <c r="D222" s="39">
        <f t="shared" si="1"/>
        <v>0</v>
      </c>
      <c r="E222" s="53"/>
    </row>
    <row r="223" ht="22.5" customHeight="1">
      <c r="A223" s="45"/>
      <c r="B223" s="52">
        <f>SUMIFS('Movimentação Estoque'!D:D,'Movimentação Estoque'!C:C,A223,'Movimentação Estoque'!B:B,"ENTRADA")</f>
        <v>0</v>
      </c>
      <c r="C223" s="52">
        <f>SUMIFS('Movimentação Estoque'!$D:$D,'Movimentação Estoque'!$C:$C,A223,'Movimentação Estoque'!$B:$B,"SAIDA")</f>
        <v>0</v>
      </c>
      <c r="D223" s="39">
        <f t="shared" si="1"/>
        <v>0</v>
      </c>
      <c r="E223" s="53"/>
    </row>
    <row r="224" ht="22.5" customHeight="1">
      <c r="A224" s="45"/>
      <c r="B224" s="52">
        <f>SUMIFS('Movimentação Estoque'!D:D,'Movimentação Estoque'!C:C,A224,'Movimentação Estoque'!B:B,"ENTRADA")</f>
        <v>0</v>
      </c>
      <c r="C224" s="52">
        <f>SUMIFS('Movimentação Estoque'!$D:$D,'Movimentação Estoque'!$C:$C,A224,'Movimentação Estoque'!$B:$B,"SAIDA")</f>
        <v>0</v>
      </c>
      <c r="D224" s="39">
        <f t="shared" si="1"/>
        <v>0</v>
      </c>
      <c r="E224" s="53"/>
    </row>
    <row r="225" ht="22.5" customHeight="1">
      <c r="A225" s="45"/>
      <c r="B225" s="52">
        <f>SUMIFS('Movimentação Estoque'!D:D,'Movimentação Estoque'!C:C,A225,'Movimentação Estoque'!B:B,"ENTRADA")</f>
        <v>0</v>
      </c>
      <c r="C225" s="52">
        <f>SUMIFS('Movimentação Estoque'!$D:$D,'Movimentação Estoque'!$C:$C,A225,'Movimentação Estoque'!$B:$B,"SAIDA")</f>
        <v>0</v>
      </c>
      <c r="D225" s="39">
        <f t="shared" si="1"/>
        <v>0</v>
      </c>
      <c r="E225" s="53"/>
    </row>
    <row r="226" ht="22.5" customHeight="1">
      <c r="A226" s="45"/>
      <c r="B226" s="52">
        <f>SUMIFS('Movimentação Estoque'!D:D,'Movimentação Estoque'!C:C,A226,'Movimentação Estoque'!B:B,"ENTRADA")</f>
        <v>0</v>
      </c>
      <c r="C226" s="52">
        <f>SUMIFS('Movimentação Estoque'!$D:$D,'Movimentação Estoque'!$C:$C,A226,'Movimentação Estoque'!$B:$B,"SAIDA")</f>
        <v>0</v>
      </c>
      <c r="D226" s="39">
        <f t="shared" si="1"/>
        <v>0</v>
      </c>
      <c r="E226" s="53"/>
    </row>
    <row r="227" ht="22.5" customHeight="1">
      <c r="A227" s="45"/>
      <c r="B227" s="52">
        <f>SUMIFS('Movimentação Estoque'!D:D,'Movimentação Estoque'!C:C,A227,'Movimentação Estoque'!B:B,"ENTRADA")</f>
        <v>0</v>
      </c>
      <c r="C227" s="52">
        <f>SUMIFS('Movimentação Estoque'!$D:$D,'Movimentação Estoque'!$C:$C,A227,'Movimentação Estoque'!$B:$B,"SAIDA")</f>
        <v>0</v>
      </c>
      <c r="D227" s="39">
        <f t="shared" si="1"/>
        <v>0</v>
      </c>
      <c r="E227" s="53"/>
    </row>
    <row r="228" ht="22.5" customHeight="1">
      <c r="A228" s="45"/>
      <c r="B228" s="52">
        <f>SUMIFS('Movimentação Estoque'!D:D,'Movimentação Estoque'!C:C,A228,'Movimentação Estoque'!B:B,"ENTRADA")</f>
        <v>0</v>
      </c>
      <c r="C228" s="52">
        <f>SUMIFS('Movimentação Estoque'!$D:$D,'Movimentação Estoque'!$C:$C,A228,'Movimentação Estoque'!$B:$B,"SAIDA")</f>
        <v>0</v>
      </c>
      <c r="D228" s="39">
        <f t="shared" si="1"/>
        <v>0</v>
      </c>
      <c r="E228" s="53"/>
    </row>
    <row r="229" ht="22.5" customHeight="1">
      <c r="A229" s="45"/>
      <c r="B229" s="52">
        <f>SUMIFS('Movimentação Estoque'!D:D,'Movimentação Estoque'!C:C,A229,'Movimentação Estoque'!B:B,"ENTRADA")</f>
        <v>0</v>
      </c>
      <c r="C229" s="52">
        <f>SUMIFS('Movimentação Estoque'!$D:$D,'Movimentação Estoque'!$C:$C,A229,'Movimentação Estoque'!$B:$B,"SAIDA")</f>
        <v>0</v>
      </c>
      <c r="D229" s="39">
        <f t="shared" si="1"/>
        <v>0</v>
      </c>
      <c r="E229" s="53"/>
    </row>
    <row r="230" ht="22.5" customHeight="1">
      <c r="A230" s="45"/>
      <c r="B230" s="52">
        <f>SUMIFS('Movimentação Estoque'!D:D,'Movimentação Estoque'!C:C,A230,'Movimentação Estoque'!B:B,"ENTRADA")</f>
        <v>0</v>
      </c>
      <c r="C230" s="52">
        <f>SUMIFS('Movimentação Estoque'!$D:$D,'Movimentação Estoque'!$C:$C,A230,'Movimentação Estoque'!$B:$B,"SAIDA")</f>
        <v>0</v>
      </c>
      <c r="D230" s="39">
        <f t="shared" si="1"/>
        <v>0</v>
      </c>
      <c r="E230" s="53"/>
    </row>
    <row r="231" ht="22.5" customHeight="1">
      <c r="A231" s="45"/>
      <c r="B231" s="52">
        <f>SUMIFS('Movimentação Estoque'!D:D,'Movimentação Estoque'!C:C,A231,'Movimentação Estoque'!B:B,"ENTRADA")</f>
        <v>0</v>
      </c>
      <c r="C231" s="52">
        <f>SUMIFS('Movimentação Estoque'!$D:$D,'Movimentação Estoque'!$C:$C,A231,'Movimentação Estoque'!$B:$B,"SAIDA")</f>
        <v>0</v>
      </c>
      <c r="D231" s="39">
        <f t="shared" si="1"/>
        <v>0</v>
      </c>
      <c r="E231" s="53"/>
    </row>
    <row r="232" ht="22.5" customHeight="1">
      <c r="A232" s="45"/>
      <c r="B232" s="52">
        <f>SUMIFS('Movimentação Estoque'!D:D,'Movimentação Estoque'!C:C,A232,'Movimentação Estoque'!B:B,"ENTRADA")</f>
        <v>0</v>
      </c>
      <c r="C232" s="52">
        <f>SUMIFS('Movimentação Estoque'!$D:$D,'Movimentação Estoque'!$C:$C,A232,'Movimentação Estoque'!$B:$B,"SAIDA")</f>
        <v>0</v>
      </c>
      <c r="D232" s="39">
        <f t="shared" si="1"/>
        <v>0</v>
      </c>
      <c r="E232" s="53"/>
    </row>
    <row r="233" ht="22.5" customHeight="1">
      <c r="A233" s="45"/>
      <c r="B233" s="52">
        <f>SUMIFS('Movimentação Estoque'!D:D,'Movimentação Estoque'!C:C,A233,'Movimentação Estoque'!B:B,"ENTRADA")</f>
        <v>0</v>
      </c>
      <c r="C233" s="52">
        <f>SUMIFS('Movimentação Estoque'!$D:$D,'Movimentação Estoque'!$C:$C,A233,'Movimentação Estoque'!$B:$B,"SAIDA")</f>
        <v>0</v>
      </c>
      <c r="D233" s="39">
        <f t="shared" si="1"/>
        <v>0</v>
      </c>
      <c r="E233" s="53"/>
    </row>
    <row r="234" ht="22.5" customHeight="1">
      <c r="A234" s="45"/>
      <c r="B234" s="52">
        <f>SUMIFS('Movimentação Estoque'!D:D,'Movimentação Estoque'!C:C,A234,'Movimentação Estoque'!B:B,"ENTRADA")</f>
        <v>0</v>
      </c>
      <c r="C234" s="52">
        <f>SUMIFS('Movimentação Estoque'!$D:$D,'Movimentação Estoque'!$C:$C,A234,'Movimentação Estoque'!$B:$B,"SAIDA")</f>
        <v>0</v>
      </c>
      <c r="D234" s="39">
        <f t="shared" si="1"/>
        <v>0</v>
      </c>
      <c r="E234" s="53"/>
    </row>
    <row r="235" ht="22.5" customHeight="1">
      <c r="A235" s="45"/>
      <c r="B235" s="52">
        <f>SUMIFS('Movimentação Estoque'!D:D,'Movimentação Estoque'!C:C,A235,'Movimentação Estoque'!B:B,"ENTRADA")</f>
        <v>0</v>
      </c>
      <c r="C235" s="52">
        <f>SUMIFS('Movimentação Estoque'!$D:$D,'Movimentação Estoque'!$C:$C,A235,'Movimentação Estoque'!$B:$B,"SAIDA")</f>
        <v>0</v>
      </c>
      <c r="D235" s="39">
        <f t="shared" si="1"/>
        <v>0</v>
      </c>
      <c r="E235" s="53"/>
    </row>
    <row r="236" ht="22.5" customHeight="1">
      <c r="A236" s="45"/>
      <c r="B236" s="52">
        <f>SUMIFS('Movimentação Estoque'!D:D,'Movimentação Estoque'!C:C,A236,'Movimentação Estoque'!B:B,"ENTRADA")</f>
        <v>0</v>
      </c>
      <c r="C236" s="52">
        <f>SUMIFS('Movimentação Estoque'!$D:$D,'Movimentação Estoque'!$C:$C,A236,'Movimentação Estoque'!$B:$B,"SAIDA")</f>
        <v>0</v>
      </c>
      <c r="D236" s="39">
        <f t="shared" si="1"/>
        <v>0</v>
      </c>
      <c r="E236" s="53"/>
    </row>
    <row r="237" ht="22.5" customHeight="1">
      <c r="A237" s="45"/>
      <c r="B237" s="52">
        <f>SUMIFS('Movimentação Estoque'!D:D,'Movimentação Estoque'!C:C,A237,'Movimentação Estoque'!B:B,"ENTRADA")</f>
        <v>0</v>
      </c>
      <c r="C237" s="52">
        <f>SUMIFS('Movimentação Estoque'!$D:$D,'Movimentação Estoque'!$C:$C,A237,'Movimentação Estoque'!$B:$B,"SAIDA")</f>
        <v>0</v>
      </c>
      <c r="D237" s="39">
        <f t="shared" si="1"/>
        <v>0</v>
      </c>
      <c r="E237" s="53"/>
    </row>
    <row r="238" ht="22.5" customHeight="1">
      <c r="A238" s="45"/>
      <c r="B238" s="52">
        <f>SUMIFS('Movimentação Estoque'!D:D,'Movimentação Estoque'!C:C,A238,'Movimentação Estoque'!B:B,"ENTRADA")</f>
        <v>0</v>
      </c>
      <c r="C238" s="52">
        <f>SUMIFS('Movimentação Estoque'!$D:$D,'Movimentação Estoque'!$C:$C,A238,'Movimentação Estoque'!$B:$B,"SAIDA")</f>
        <v>0</v>
      </c>
      <c r="D238" s="39">
        <f t="shared" si="1"/>
        <v>0</v>
      </c>
      <c r="E238" s="53"/>
    </row>
    <row r="239" ht="22.5" customHeight="1">
      <c r="A239" s="45"/>
      <c r="B239" s="52">
        <f>SUMIFS('Movimentação Estoque'!D:D,'Movimentação Estoque'!C:C,A239,'Movimentação Estoque'!B:B,"ENTRADA")</f>
        <v>0</v>
      </c>
      <c r="C239" s="52">
        <f>SUMIFS('Movimentação Estoque'!$D:$D,'Movimentação Estoque'!$C:$C,A239,'Movimentação Estoque'!$B:$B,"SAIDA")</f>
        <v>0</v>
      </c>
      <c r="D239" s="39">
        <f t="shared" si="1"/>
        <v>0</v>
      </c>
      <c r="E239" s="53"/>
    </row>
    <row r="240" ht="22.5" customHeight="1">
      <c r="A240" s="45"/>
      <c r="B240" s="52">
        <f>SUMIFS('Movimentação Estoque'!D:D,'Movimentação Estoque'!C:C,A240,'Movimentação Estoque'!B:B,"ENTRADA")</f>
        <v>0</v>
      </c>
      <c r="C240" s="52">
        <f>SUMIFS('Movimentação Estoque'!$D:$D,'Movimentação Estoque'!$C:$C,A240,'Movimentação Estoque'!$B:$B,"SAIDA")</f>
        <v>0</v>
      </c>
      <c r="D240" s="39">
        <f t="shared" si="1"/>
        <v>0</v>
      </c>
      <c r="E240" s="53"/>
    </row>
  </sheetData>
  <dataValidations>
    <dataValidation type="custom" allowBlank="1" showDropDown="1" sqref="B4:D240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88"/>
    <col customWidth="1" min="3" max="3" width="48.63"/>
    <col customWidth="1" min="4" max="4" width="18.88"/>
  </cols>
  <sheetData>
    <row r="1" ht="22.5" customHeight="1">
      <c r="A1" s="3" t="s">
        <v>0</v>
      </c>
      <c r="B1" s="3" t="s">
        <v>3</v>
      </c>
      <c r="C1" s="3" t="s">
        <v>5</v>
      </c>
      <c r="D1" s="3" t="s">
        <v>7</v>
      </c>
      <c r="E1" s="7" t="s">
        <v>9</v>
      </c>
    </row>
    <row r="2" ht="22.5" customHeight="1">
      <c r="A2" s="12">
        <v>45889.0</v>
      </c>
      <c r="B2" s="14" t="s">
        <v>15</v>
      </c>
      <c r="C2" s="14" t="s">
        <v>17</v>
      </c>
      <c r="D2" s="18">
        <v>2.0</v>
      </c>
      <c r="E2" s="14" t="s">
        <v>19</v>
      </c>
      <c r="H2" s="20" t="s">
        <v>20</v>
      </c>
    </row>
    <row r="3" ht="22.5" customHeight="1">
      <c r="A3" s="12">
        <v>45924.0</v>
      </c>
      <c r="B3" s="14" t="s">
        <v>18</v>
      </c>
      <c r="C3" s="14" t="s">
        <v>17</v>
      </c>
      <c r="D3" s="18">
        <v>10.0</v>
      </c>
      <c r="E3" s="14" t="s">
        <v>19</v>
      </c>
      <c r="H3" s="20" t="s">
        <v>23</v>
      </c>
      <c r="I3" s="20">
        <v>6.0</v>
      </c>
    </row>
    <row r="4" ht="22.5" customHeight="1">
      <c r="A4" s="12">
        <v>45937.0</v>
      </c>
      <c r="B4" s="14" t="s">
        <v>15</v>
      </c>
      <c r="C4" s="14" t="s">
        <v>17</v>
      </c>
      <c r="D4" s="18">
        <v>1.0</v>
      </c>
      <c r="E4" s="14" t="s">
        <v>19</v>
      </c>
      <c r="H4" s="20" t="s">
        <v>24</v>
      </c>
      <c r="I4" s="20">
        <v>2.0</v>
      </c>
    </row>
    <row r="5" ht="22.5" customHeight="1">
      <c r="A5" s="12">
        <v>46009.0</v>
      </c>
      <c r="B5" s="14" t="s">
        <v>18</v>
      </c>
      <c r="C5" s="14" t="s">
        <v>25</v>
      </c>
      <c r="D5" s="18">
        <v>4.0</v>
      </c>
      <c r="E5" s="14" t="s">
        <v>19</v>
      </c>
      <c r="H5" s="20" t="s">
        <v>26</v>
      </c>
      <c r="I5" s="20">
        <v>3.0</v>
      </c>
    </row>
    <row r="6" ht="22.5" customHeight="1">
      <c r="A6" s="12">
        <v>46009.0</v>
      </c>
      <c r="B6" s="14" t="s">
        <v>18</v>
      </c>
      <c r="C6" s="14" t="s">
        <v>28</v>
      </c>
      <c r="D6" s="18">
        <v>1.0</v>
      </c>
      <c r="E6" s="14" t="s">
        <v>19</v>
      </c>
      <c r="H6" s="20" t="s">
        <v>29</v>
      </c>
      <c r="I6" s="20">
        <v>1.0</v>
      </c>
    </row>
    <row r="7" ht="22.5" customHeight="1">
      <c r="A7" s="12">
        <v>46009.0</v>
      </c>
      <c r="B7" s="14" t="s">
        <v>18</v>
      </c>
      <c r="C7" s="14" t="s">
        <v>30</v>
      </c>
      <c r="D7" s="18">
        <v>1.0</v>
      </c>
      <c r="E7" s="14" t="s">
        <v>19</v>
      </c>
    </row>
    <row r="8" ht="22.5" customHeight="1">
      <c r="A8" s="12">
        <v>46009.0</v>
      </c>
      <c r="B8" s="14" t="s">
        <v>18</v>
      </c>
      <c r="C8" s="14" t="s">
        <v>32</v>
      </c>
      <c r="D8" s="18">
        <v>29.0</v>
      </c>
      <c r="E8" s="14" t="s">
        <v>19</v>
      </c>
    </row>
    <row r="9" ht="22.5" customHeight="1">
      <c r="A9" s="12">
        <v>46009.0</v>
      </c>
      <c r="B9" s="14" t="s">
        <v>18</v>
      </c>
      <c r="C9" s="14" t="s">
        <v>34</v>
      </c>
      <c r="D9" s="18">
        <v>6.0</v>
      </c>
      <c r="E9" s="14" t="s">
        <v>19</v>
      </c>
    </row>
    <row r="10" ht="22.5" customHeight="1">
      <c r="A10" s="12">
        <v>46009.0</v>
      </c>
      <c r="B10" s="14" t="s">
        <v>18</v>
      </c>
      <c r="C10" s="14" t="s">
        <v>35</v>
      </c>
      <c r="D10" s="18">
        <v>1.0</v>
      </c>
      <c r="E10" s="14" t="s">
        <v>19</v>
      </c>
    </row>
    <row r="11" ht="22.5" customHeight="1">
      <c r="A11" s="12">
        <v>46009.0</v>
      </c>
      <c r="B11" s="14" t="s">
        <v>18</v>
      </c>
      <c r="C11" s="14" t="s">
        <v>37</v>
      </c>
      <c r="D11" s="18">
        <v>1.0</v>
      </c>
      <c r="E11" s="14" t="s">
        <v>19</v>
      </c>
    </row>
    <row r="12" ht="22.5" customHeight="1">
      <c r="A12" s="12">
        <v>46009.0</v>
      </c>
      <c r="B12" s="14" t="s">
        <v>18</v>
      </c>
      <c r="C12" s="14" t="s">
        <v>39</v>
      </c>
      <c r="D12" s="18">
        <v>17.0</v>
      </c>
      <c r="E12" s="14" t="s">
        <v>19</v>
      </c>
    </row>
    <row r="13" ht="22.5" customHeight="1">
      <c r="A13" s="12">
        <v>46034.0</v>
      </c>
      <c r="B13" s="14" t="s">
        <v>15</v>
      </c>
      <c r="C13" s="14" t="s">
        <v>39</v>
      </c>
      <c r="D13" s="18">
        <v>4.0</v>
      </c>
      <c r="E13" s="14" t="s">
        <v>19</v>
      </c>
    </row>
    <row r="14" ht="22.5" customHeight="1">
      <c r="A14" s="12">
        <v>46042.0</v>
      </c>
      <c r="B14" s="14" t="s">
        <v>18</v>
      </c>
      <c r="C14" s="14" t="s">
        <v>39</v>
      </c>
      <c r="D14" s="18">
        <v>20.0</v>
      </c>
      <c r="E14" s="42"/>
    </row>
    <row r="15" ht="22.5" customHeight="1">
      <c r="A15" s="12">
        <v>46042.0</v>
      </c>
      <c r="B15" s="14" t="s">
        <v>15</v>
      </c>
      <c r="C15" s="14" t="s">
        <v>39</v>
      </c>
      <c r="D15" s="18">
        <v>14.0</v>
      </c>
      <c r="E15" s="42"/>
    </row>
    <row r="16" ht="22.5" customHeight="1">
      <c r="A16" s="12">
        <v>46044.0</v>
      </c>
      <c r="B16" s="14" t="s">
        <v>18</v>
      </c>
      <c r="C16" s="14" t="s">
        <v>39</v>
      </c>
      <c r="D16" s="18">
        <v>3.0</v>
      </c>
      <c r="E16" s="42"/>
    </row>
    <row r="17" ht="22.5" customHeight="1">
      <c r="A17" s="12">
        <v>45951.0</v>
      </c>
      <c r="B17" s="14" t="s">
        <v>18</v>
      </c>
      <c r="C17" s="14" t="s">
        <v>41</v>
      </c>
      <c r="D17" s="18">
        <v>26.0</v>
      </c>
      <c r="E17" s="14" t="s">
        <v>19</v>
      </c>
    </row>
    <row r="18" ht="22.5" customHeight="1">
      <c r="A18" s="12">
        <v>46079.0</v>
      </c>
      <c r="B18" s="14" t="s">
        <v>18</v>
      </c>
      <c r="C18" s="14" t="s">
        <v>41</v>
      </c>
      <c r="D18" s="18">
        <v>15.0</v>
      </c>
      <c r="E18" s="14" t="s">
        <v>19</v>
      </c>
    </row>
    <row r="19" ht="22.5" customHeight="1">
      <c r="A19" s="12">
        <v>46079.0</v>
      </c>
      <c r="B19" s="14" t="s">
        <v>15</v>
      </c>
      <c r="C19" s="14" t="s">
        <v>41</v>
      </c>
      <c r="D19" s="18">
        <v>33.0</v>
      </c>
      <c r="E19" s="14" t="s">
        <v>19</v>
      </c>
    </row>
    <row r="20" ht="22.5" customHeight="1">
      <c r="A20" s="12">
        <v>45952.0</v>
      </c>
      <c r="B20" s="14" t="s">
        <v>18</v>
      </c>
      <c r="C20" s="14" t="s">
        <v>42</v>
      </c>
      <c r="D20" s="18">
        <v>108.0</v>
      </c>
      <c r="E20" s="14" t="s">
        <v>19</v>
      </c>
    </row>
    <row r="21" ht="22.5" customHeight="1">
      <c r="A21" s="12">
        <v>45958.0</v>
      </c>
      <c r="B21" s="14" t="s">
        <v>15</v>
      </c>
      <c r="C21" s="14" t="s">
        <v>42</v>
      </c>
      <c r="D21" s="18">
        <v>108.0</v>
      </c>
      <c r="E21" s="14" t="s">
        <v>19</v>
      </c>
    </row>
    <row r="22" ht="22.5" customHeight="1">
      <c r="A22" s="12">
        <v>46013.0</v>
      </c>
      <c r="B22" s="14" t="s">
        <v>18</v>
      </c>
      <c r="C22" s="14" t="s">
        <v>43</v>
      </c>
      <c r="D22" s="18">
        <v>10.0</v>
      </c>
      <c r="E22" s="14" t="s">
        <v>19</v>
      </c>
    </row>
    <row r="23" ht="22.5" customHeight="1">
      <c r="A23" s="12">
        <v>46056.0</v>
      </c>
      <c r="B23" s="14" t="s">
        <v>18</v>
      </c>
      <c r="C23" s="14" t="s">
        <v>43</v>
      </c>
      <c r="D23" s="18">
        <v>14.0</v>
      </c>
      <c r="E23" s="14" t="s">
        <v>19</v>
      </c>
    </row>
    <row r="24" ht="22.5" customHeight="1">
      <c r="A24" s="12">
        <v>45952.0</v>
      </c>
      <c r="B24" s="14" t="s">
        <v>18</v>
      </c>
      <c r="C24" s="14" t="s">
        <v>46</v>
      </c>
      <c r="D24" s="18">
        <v>68.0</v>
      </c>
      <c r="E24" s="14" t="s">
        <v>19</v>
      </c>
    </row>
    <row r="25" ht="22.5" customHeight="1">
      <c r="A25" s="12">
        <v>45958.0</v>
      </c>
      <c r="B25" s="14" t="s">
        <v>15</v>
      </c>
      <c r="C25" s="14" t="s">
        <v>46</v>
      </c>
      <c r="D25" s="18">
        <v>68.0</v>
      </c>
      <c r="E25" s="14" t="s">
        <v>19</v>
      </c>
    </row>
    <row r="26" ht="22.5" customHeight="1">
      <c r="A26" s="12">
        <v>45889.0</v>
      </c>
      <c r="B26" s="14" t="s">
        <v>15</v>
      </c>
      <c r="C26" s="14" t="s">
        <v>47</v>
      </c>
      <c r="D26" s="18">
        <v>10.0</v>
      </c>
      <c r="E26" s="14" t="s">
        <v>19</v>
      </c>
    </row>
    <row r="27" ht="22.5" customHeight="1">
      <c r="A27" s="12">
        <v>46009.0</v>
      </c>
      <c r="B27" s="14" t="s">
        <v>18</v>
      </c>
      <c r="C27" s="14" t="s">
        <v>48</v>
      </c>
      <c r="D27" s="18">
        <v>10.0</v>
      </c>
      <c r="E27" s="14" t="s">
        <v>19</v>
      </c>
    </row>
    <row r="28" ht="22.5" customHeight="1">
      <c r="A28" s="12">
        <v>45889.0</v>
      </c>
      <c r="B28" s="14" t="s">
        <v>15</v>
      </c>
      <c r="C28" s="14" t="s">
        <v>50</v>
      </c>
      <c r="D28" s="18">
        <v>2.0</v>
      </c>
      <c r="E28" s="14" t="s">
        <v>19</v>
      </c>
    </row>
    <row r="29" ht="22.5" customHeight="1">
      <c r="A29" s="12">
        <v>46062.0</v>
      </c>
      <c r="B29" s="14" t="s">
        <v>18</v>
      </c>
      <c r="C29" s="14" t="s">
        <v>51</v>
      </c>
      <c r="D29" s="18">
        <v>2.0</v>
      </c>
      <c r="E29" s="14" t="s">
        <v>19</v>
      </c>
    </row>
    <row r="30" ht="22.5" customHeight="1">
      <c r="A30" s="12">
        <v>46009.0</v>
      </c>
      <c r="B30" s="14" t="s">
        <v>18</v>
      </c>
      <c r="C30" s="14" t="s">
        <v>53</v>
      </c>
      <c r="D30" s="18">
        <v>16.0</v>
      </c>
      <c r="E30" s="14" t="s">
        <v>19</v>
      </c>
    </row>
    <row r="31" ht="22.5" customHeight="1">
      <c r="A31" s="12">
        <v>46013.0</v>
      </c>
      <c r="B31" s="14" t="s">
        <v>18</v>
      </c>
      <c r="C31" s="14" t="s">
        <v>54</v>
      </c>
      <c r="D31" s="18">
        <v>55.0</v>
      </c>
      <c r="E31" s="14" t="s">
        <v>19</v>
      </c>
    </row>
    <row r="32" ht="22.5" customHeight="1">
      <c r="A32" s="12">
        <v>46059.0</v>
      </c>
      <c r="B32" s="14" t="s">
        <v>18</v>
      </c>
      <c r="C32" s="14" t="s">
        <v>56</v>
      </c>
      <c r="D32" s="18">
        <v>6.0</v>
      </c>
      <c r="E32" s="14" t="s">
        <v>19</v>
      </c>
    </row>
    <row r="33" ht="22.5" customHeight="1">
      <c r="A33" s="12">
        <v>46059.0</v>
      </c>
      <c r="B33" s="14" t="s">
        <v>18</v>
      </c>
      <c r="C33" s="14" t="s">
        <v>57</v>
      </c>
      <c r="D33" s="18">
        <v>8.0</v>
      </c>
      <c r="E33" s="14" t="s">
        <v>19</v>
      </c>
    </row>
    <row r="34" ht="22.5" customHeight="1">
      <c r="A34" s="12">
        <v>46059.0</v>
      </c>
      <c r="B34" s="14" t="s">
        <v>18</v>
      </c>
      <c r="C34" s="14" t="s">
        <v>59</v>
      </c>
      <c r="D34" s="18">
        <v>13.0</v>
      </c>
      <c r="E34" s="42"/>
    </row>
    <row r="35" ht="22.5" customHeight="1">
      <c r="A35" s="12">
        <v>46008.0</v>
      </c>
      <c r="B35" s="14" t="s">
        <v>18</v>
      </c>
      <c r="C35" s="14" t="s">
        <v>60</v>
      </c>
      <c r="D35" s="18">
        <v>1.0</v>
      </c>
      <c r="E35" s="14" t="s">
        <v>19</v>
      </c>
    </row>
    <row r="36" ht="22.5" customHeight="1">
      <c r="A36" s="12">
        <v>46055.0</v>
      </c>
      <c r="B36" s="14" t="s">
        <v>18</v>
      </c>
      <c r="C36" s="14" t="s">
        <v>62</v>
      </c>
      <c r="D36" s="18">
        <v>6.0</v>
      </c>
      <c r="E36" s="42"/>
    </row>
    <row r="37" ht="22.5" customHeight="1">
      <c r="A37" s="12">
        <v>45979.0</v>
      </c>
      <c r="B37" s="14" t="s">
        <v>18</v>
      </c>
      <c r="C37" s="14" t="s">
        <v>63</v>
      </c>
      <c r="D37" s="18">
        <v>10.0</v>
      </c>
      <c r="E37" s="14" t="s">
        <v>19</v>
      </c>
    </row>
    <row r="38" ht="22.5" customHeight="1">
      <c r="A38" s="12">
        <v>46034.0</v>
      </c>
      <c r="B38" s="14" t="s">
        <v>18</v>
      </c>
      <c r="C38" s="14" t="s">
        <v>63</v>
      </c>
      <c r="D38" s="18">
        <v>10.0</v>
      </c>
      <c r="E38" s="14" t="s">
        <v>19</v>
      </c>
    </row>
    <row r="39" ht="22.5" customHeight="1">
      <c r="A39" s="12">
        <v>46042.0</v>
      </c>
      <c r="B39" s="14" t="s">
        <v>15</v>
      </c>
      <c r="C39" s="14" t="s">
        <v>63</v>
      </c>
      <c r="D39" s="18">
        <v>15.0</v>
      </c>
      <c r="E39" s="42"/>
    </row>
    <row r="40" ht="22.5" customHeight="1">
      <c r="A40" s="12">
        <v>46044.0</v>
      </c>
      <c r="B40" s="14" t="s">
        <v>18</v>
      </c>
      <c r="C40" s="14" t="s">
        <v>63</v>
      </c>
      <c r="D40" s="18">
        <v>10.0</v>
      </c>
      <c r="E40" s="42"/>
    </row>
    <row r="41" ht="22.5" customHeight="1">
      <c r="A41" s="12">
        <v>46008.0</v>
      </c>
      <c r="B41" s="14" t="s">
        <v>18</v>
      </c>
      <c r="C41" s="14" t="s">
        <v>65</v>
      </c>
      <c r="D41" s="18">
        <v>1.0</v>
      </c>
      <c r="E41" s="14" t="s">
        <v>19</v>
      </c>
    </row>
    <row r="42" ht="22.5" customHeight="1">
      <c r="A42" s="12">
        <v>46034.0</v>
      </c>
      <c r="B42" s="14" t="s">
        <v>18</v>
      </c>
      <c r="C42" s="14" t="s">
        <v>67</v>
      </c>
      <c r="D42" s="18">
        <v>30.0</v>
      </c>
      <c r="E42" s="14" t="s">
        <v>19</v>
      </c>
    </row>
    <row r="43" ht="22.5" customHeight="1">
      <c r="A43" s="12">
        <v>46049.0</v>
      </c>
      <c r="B43" s="14" t="s">
        <v>15</v>
      </c>
      <c r="C43" s="14" t="s">
        <v>67</v>
      </c>
      <c r="D43" s="18">
        <v>30.0</v>
      </c>
      <c r="E43" s="14" t="s">
        <v>19</v>
      </c>
    </row>
    <row r="44" ht="22.5" customHeight="1">
      <c r="A44" s="12">
        <v>46008.0</v>
      </c>
      <c r="B44" s="14" t="s">
        <v>18</v>
      </c>
      <c r="C44" s="14" t="s">
        <v>68</v>
      </c>
      <c r="D44" s="18">
        <v>2.0</v>
      </c>
      <c r="E44" s="14" t="s">
        <v>19</v>
      </c>
    </row>
    <row r="45" ht="22.5" customHeight="1">
      <c r="A45" s="12">
        <v>46008.0</v>
      </c>
      <c r="B45" s="14" t="s">
        <v>18</v>
      </c>
      <c r="C45" s="14" t="s">
        <v>71</v>
      </c>
      <c r="D45" s="18">
        <v>9.0</v>
      </c>
      <c r="E45" s="14" t="s">
        <v>19</v>
      </c>
    </row>
    <row r="46" ht="22.5" customHeight="1">
      <c r="A46" s="12">
        <v>46028.0</v>
      </c>
      <c r="B46" s="14" t="s">
        <v>18</v>
      </c>
      <c r="C46" s="14" t="s">
        <v>71</v>
      </c>
      <c r="D46" s="18">
        <v>5.0</v>
      </c>
      <c r="E46" s="14" t="s">
        <v>19</v>
      </c>
    </row>
    <row r="47" ht="22.5" customHeight="1">
      <c r="A47" s="12">
        <v>46049.0</v>
      </c>
      <c r="B47" s="14" t="s">
        <v>15</v>
      </c>
      <c r="C47" s="14" t="s">
        <v>71</v>
      </c>
      <c r="D47" s="18">
        <v>1.0</v>
      </c>
      <c r="E47" s="14" t="s">
        <v>19</v>
      </c>
    </row>
    <row r="48" ht="22.5" customHeight="1">
      <c r="A48" s="12">
        <v>46008.0</v>
      </c>
      <c r="B48" s="14" t="s">
        <v>18</v>
      </c>
      <c r="C48" s="14" t="s">
        <v>72</v>
      </c>
      <c r="D48" s="18">
        <v>12.0</v>
      </c>
      <c r="E48" s="14" t="s">
        <v>19</v>
      </c>
    </row>
    <row r="49" ht="22.5" customHeight="1">
      <c r="A49" s="12">
        <v>46043.0</v>
      </c>
      <c r="B49" s="14" t="s">
        <v>18</v>
      </c>
      <c r="C49" s="14" t="s">
        <v>72</v>
      </c>
      <c r="D49" s="18">
        <v>22.0</v>
      </c>
      <c r="E49" s="14"/>
    </row>
    <row r="50" ht="22.5" customHeight="1">
      <c r="A50" s="12">
        <v>46002.0</v>
      </c>
      <c r="B50" s="14" t="s">
        <v>18</v>
      </c>
      <c r="C50" s="14" t="s">
        <v>74</v>
      </c>
      <c r="D50" s="18">
        <v>15.0</v>
      </c>
      <c r="E50" s="14" t="s">
        <v>19</v>
      </c>
    </row>
    <row r="51" ht="22.5" customHeight="1">
      <c r="A51" s="12">
        <v>46008.0</v>
      </c>
      <c r="B51" s="14" t="s">
        <v>18</v>
      </c>
      <c r="C51" s="14" t="s">
        <v>75</v>
      </c>
      <c r="D51" s="18">
        <v>4.0</v>
      </c>
      <c r="E51" s="14" t="s">
        <v>19</v>
      </c>
    </row>
    <row r="52" ht="22.5" customHeight="1">
      <c r="A52" s="12">
        <v>46050.0</v>
      </c>
      <c r="B52" s="14" t="s">
        <v>15</v>
      </c>
      <c r="C52" s="14" t="s">
        <v>75</v>
      </c>
      <c r="D52" s="18">
        <v>1.0</v>
      </c>
      <c r="E52" s="42"/>
    </row>
    <row r="53" ht="22.5" customHeight="1">
      <c r="A53" s="54">
        <v>45806.0</v>
      </c>
      <c r="B53" s="55" t="s">
        <v>18</v>
      </c>
      <c r="C53" s="55" t="s">
        <v>77</v>
      </c>
      <c r="D53" s="56">
        <v>239.0</v>
      </c>
      <c r="E53" s="14" t="s">
        <v>19</v>
      </c>
    </row>
    <row r="54" ht="22.5" customHeight="1">
      <c r="A54" s="54">
        <v>45806.0</v>
      </c>
      <c r="B54" s="55" t="s">
        <v>18</v>
      </c>
      <c r="C54" s="55" t="s">
        <v>79</v>
      </c>
      <c r="D54" s="56">
        <v>19.0</v>
      </c>
      <c r="E54" s="14" t="s">
        <v>19</v>
      </c>
    </row>
    <row r="55" ht="22.5" customHeight="1">
      <c r="A55" s="12">
        <v>45958.0</v>
      </c>
      <c r="B55" s="14" t="s">
        <v>15</v>
      </c>
      <c r="C55" s="14" t="s">
        <v>79</v>
      </c>
      <c r="D55" s="18">
        <v>19.0</v>
      </c>
      <c r="E55" s="14" t="s">
        <v>19</v>
      </c>
    </row>
    <row r="56" ht="22.5" customHeight="1">
      <c r="A56" s="12">
        <v>46009.0</v>
      </c>
      <c r="B56" s="14" t="s">
        <v>18</v>
      </c>
      <c r="C56" s="14" t="s">
        <v>81</v>
      </c>
      <c r="D56" s="18">
        <v>7.0</v>
      </c>
      <c r="E56" s="14" t="s">
        <v>19</v>
      </c>
    </row>
    <row r="57" ht="22.5" customHeight="1">
      <c r="A57" s="12">
        <v>45957.0</v>
      </c>
      <c r="B57" s="14" t="s">
        <v>18</v>
      </c>
      <c r="C57" s="14" t="s">
        <v>82</v>
      </c>
      <c r="D57" s="18">
        <v>18.0</v>
      </c>
      <c r="E57" s="14" t="s">
        <v>19</v>
      </c>
    </row>
    <row r="58" ht="22.5" customHeight="1">
      <c r="A58" s="12">
        <v>45958.0</v>
      </c>
      <c r="B58" s="14" t="s">
        <v>15</v>
      </c>
      <c r="C58" s="14" t="s">
        <v>82</v>
      </c>
      <c r="D58" s="18">
        <v>5.0</v>
      </c>
      <c r="E58" s="14" t="s">
        <v>19</v>
      </c>
    </row>
    <row r="59" ht="22.5" customHeight="1">
      <c r="A59" s="54">
        <v>45811.0</v>
      </c>
      <c r="B59" s="55" t="s">
        <v>18</v>
      </c>
      <c r="C59" s="55" t="s">
        <v>84</v>
      </c>
      <c r="D59" s="56">
        <v>7.0</v>
      </c>
      <c r="E59" s="14" t="s">
        <v>19</v>
      </c>
    </row>
    <row r="60" ht="22.5" customHeight="1">
      <c r="A60" s="12">
        <v>46082.0</v>
      </c>
      <c r="B60" s="14" t="s">
        <v>15</v>
      </c>
      <c r="C60" s="14" t="s">
        <v>84</v>
      </c>
      <c r="D60" s="18">
        <v>4.0</v>
      </c>
      <c r="E60" s="14" t="s">
        <v>19</v>
      </c>
    </row>
    <row r="61" ht="22.5" customHeight="1">
      <c r="A61" s="12">
        <v>45957.0</v>
      </c>
      <c r="B61" s="14" t="s">
        <v>18</v>
      </c>
      <c r="C61" s="14" t="s">
        <v>86</v>
      </c>
      <c r="D61" s="18">
        <v>27.0</v>
      </c>
      <c r="E61" s="14" t="s">
        <v>19</v>
      </c>
    </row>
    <row r="62" ht="22.5" customHeight="1">
      <c r="A62" s="12">
        <v>45958.0</v>
      </c>
      <c r="B62" s="14" t="s">
        <v>15</v>
      </c>
      <c r="C62" s="14" t="s">
        <v>86</v>
      </c>
      <c r="D62" s="18">
        <v>16.0</v>
      </c>
      <c r="E62" s="14" t="s">
        <v>19</v>
      </c>
    </row>
    <row r="63" ht="22.5" customHeight="1">
      <c r="A63" s="54">
        <v>45806.0</v>
      </c>
      <c r="B63" s="55" t="s">
        <v>18</v>
      </c>
      <c r="C63" s="55" t="s">
        <v>87</v>
      </c>
      <c r="D63" s="56">
        <v>22.0</v>
      </c>
      <c r="E63" s="14" t="s">
        <v>45</v>
      </c>
    </row>
    <row r="64" ht="22.5" customHeight="1">
      <c r="A64" s="54">
        <v>45806.0</v>
      </c>
      <c r="B64" s="55" t="s">
        <v>15</v>
      </c>
      <c r="C64" s="55" t="s">
        <v>87</v>
      </c>
      <c r="D64" s="56">
        <v>2.0</v>
      </c>
      <c r="E64" s="14" t="s">
        <v>45</v>
      </c>
    </row>
    <row r="65" ht="22.5" customHeight="1">
      <c r="A65" s="12">
        <v>45898.0</v>
      </c>
      <c r="B65" s="14" t="s">
        <v>15</v>
      </c>
      <c r="C65" s="55" t="s">
        <v>87</v>
      </c>
      <c r="D65" s="18">
        <v>9.0</v>
      </c>
      <c r="E65" s="14" t="s">
        <v>45</v>
      </c>
    </row>
    <row r="66" ht="22.5" customHeight="1">
      <c r="A66" s="12">
        <v>45958.0</v>
      </c>
      <c r="B66" s="14" t="s">
        <v>18</v>
      </c>
      <c r="C66" s="55" t="s">
        <v>87</v>
      </c>
      <c r="D66" s="18">
        <v>11.0</v>
      </c>
      <c r="E66" s="14" t="s">
        <v>45</v>
      </c>
    </row>
    <row r="67" ht="22.5" customHeight="1">
      <c r="A67" s="12">
        <v>45960.0</v>
      </c>
      <c r="B67" s="14" t="s">
        <v>18</v>
      </c>
      <c r="C67" s="55" t="s">
        <v>87</v>
      </c>
      <c r="D67" s="18">
        <v>1.0</v>
      </c>
      <c r="E67" s="14" t="s">
        <v>45</v>
      </c>
    </row>
    <row r="68" ht="22.5" customHeight="1">
      <c r="A68" s="12">
        <v>46049.0</v>
      </c>
      <c r="B68" s="14" t="s">
        <v>15</v>
      </c>
      <c r="C68" s="55" t="s">
        <v>87</v>
      </c>
      <c r="D68" s="18">
        <v>3.0</v>
      </c>
      <c r="E68" s="14" t="s">
        <v>45</v>
      </c>
    </row>
    <row r="69" ht="22.5" customHeight="1">
      <c r="A69" s="12">
        <v>46039.0</v>
      </c>
      <c r="B69" s="14" t="s">
        <v>15</v>
      </c>
      <c r="C69" s="55" t="s">
        <v>87</v>
      </c>
      <c r="D69" s="18">
        <v>3.0</v>
      </c>
      <c r="E69" s="14" t="s">
        <v>45</v>
      </c>
    </row>
    <row r="70" ht="22.5" customHeight="1">
      <c r="A70" s="12">
        <v>46045.0</v>
      </c>
      <c r="B70" s="14" t="s">
        <v>15</v>
      </c>
      <c r="C70" s="55" t="s">
        <v>87</v>
      </c>
      <c r="D70" s="18">
        <v>3.0</v>
      </c>
      <c r="E70" s="14" t="s">
        <v>45</v>
      </c>
    </row>
    <row r="71" ht="22.5" customHeight="1">
      <c r="A71" s="12">
        <v>46013.0</v>
      </c>
      <c r="B71" s="14" t="s">
        <v>18</v>
      </c>
      <c r="C71" s="14" t="s">
        <v>89</v>
      </c>
      <c r="D71" s="18">
        <v>38.0</v>
      </c>
      <c r="E71" s="14" t="s">
        <v>19</v>
      </c>
    </row>
    <row r="72" ht="22.5" customHeight="1">
      <c r="A72" s="12">
        <v>45649.0</v>
      </c>
      <c r="B72" s="14" t="s">
        <v>18</v>
      </c>
      <c r="C72" s="14" t="s">
        <v>91</v>
      </c>
      <c r="D72" s="18">
        <v>100.0</v>
      </c>
      <c r="E72" s="14" t="s">
        <v>19</v>
      </c>
    </row>
    <row r="73" ht="22.5" customHeight="1">
      <c r="A73" s="12">
        <v>46042.0</v>
      </c>
      <c r="B73" s="14" t="s">
        <v>15</v>
      </c>
      <c r="C73" s="14" t="s">
        <v>91</v>
      </c>
      <c r="D73" s="18">
        <v>16.0</v>
      </c>
      <c r="E73" s="42"/>
    </row>
    <row r="74" ht="22.5" customHeight="1">
      <c r="A74" s="12">
        <v>46049.0</v>
      </c>
      <c r="B74" s="14" t="s">
        <v>15</v>
      </c>
      <c r="C74" s="14" t="s">
        <v>91</v>
      </c>
      <c r="D74" s="18">
        <v>5.0</v>
      </c>
      <c r="E74" s="14" t="s">
        <v>19</v>
      </c>
    </row>
    <row r="75" ht="22.5" customHeight="1">
      <c r="A75" s="12">
        <v>46049.0</v>
      </c>
      <c r="B75" s="14" t="s">
        <v>18</v>
      </c>
      <c r="C75" s="14" t="s">
        <v>92</v>
      </c>
      <c r="D75" s="18">
        <v>9.0</v>
      </c>
      <c r="E75" s="14" t="s">
        <v>19</v>
      </c>
    </row>
    <row r="76" ht="22.5" customHeight="1">
      <c r="A76" s="12">
        <v>46013.0</v>
      </c>
      <c r="B76" s="14" t="s">
        <v>18</v>
      </c>
      <c r="C76" s="14" t="s">
        <v>94</v>
      </c>
      <c r="D76" s="18">
        <v>34.0</v>
      </c>
      <c r="E76" s="14" t="s">
        <v>19</v>
      </c>
    </row>
    <row r="77" ht="22.5" customHeight="1">
      <c r="A77" s="12">
        <v>46086.0</v>
      </c>
      <c r="B77" s="14" t="s">
        <v>18</v>
      </c>
      <c r="C77" s="14" t="s">
        <v>94</v>
      </c>
      <c r="D77" s="18">
        <v>34.0</v>
      </c>
      <c r="E77" s="14" t="s">
        <v>19</v>
      </c>
    </row>
    <row r="78" ht="22.5" customHeight="1">
      <c r="A78" s="12">
        <v>45901.0</v>
      </c>
      <c r="B78" s="14" t="s">
        <v>18</v>
      </c>
      <c r="C78" s="14" t="s">
        <v>96</v>
      </c>
      <c r="D78" s="18">
        <v>30.0</v>
      </c>
      <c r="E78" s="14" t="s">
        <v>19</v>
      </c>
    </row>
    <row r="79" ht="22.5" customHeight="1">
      <c r="A79" s="12">
        <v>45924.0</v>
      </c>
      <c r="B79" s="14" t="s">
        <v>18</v>
      </c>
      <c r="C79" s="14" t="s">
        <v>96</v>
      </c>
      <c r="D79" s="18">
        <v>20.0</v>
      </c>
      <c r="E79" s="14" t="s">
        <v>19</v>
      </c>
    </row>
    <row r="80" ht="22.5" customHeight="1">
      <c r="A80" s="54">
        <v>45834.0</v>
      </c>
      <c r="B80" s="55" t="s">
        <v>18</v>
      </c>
      <c r="C80" s="55" t="s">
        <v>97</v>
      </c>
      <c r="D80" s="56">
        <v>2.0</v>
      </c>
      <c r="E80" s="14" t="s">
        <v>19</v>
      </c>
    </row>
    <row r="81" ht="22.5" customHeight="1">
      <c r="A81" s="12">
        <v>45924.0</v>
      </c>
      <c r="B81" s="14" t="s">
        <v>18</v>
      </c>
      <c r="C81" s="14" t="s">
        <v>97</v>
      </c>
      <c r="D81" s="18">
        <v>1.0</v>
      </c>
      <c r="E81" s="14" t="s">
        <v>19</v>
      </c>
    </row>
    <row r="82" ht="22.5" customHeight="1">
      <c r="A82" s="12">
        <v>45930.0</v>
      </c>
      <c r="B82" s="14" t="s">
        <v>18</v>
      </c>
      <c r="C82" s="14" t="s">
        <v>97</v>
      </c>
      <c r="D82" s="18">
        <v>3.0</v>
      </c>
      <c r="E82" s="14" t="s">
        <v>19</v>
      </c>
    </row>
    <row r="83" ht="22.5" customHeight="1">
      <c r="A83" s="12">
        <v>45958.0</v>
      </c>
      <c r="B83" s="14" t="s">
        <v>15</v>
      </c>
      <c r="C83" s="14" t="s">
        <v>97</v>
      </c>
      <c r="D83" s="18">
        <v>1.0</v>
      </c>
      <c r="E83" s="14" t="s">
        <v>19</v>
      </c>
    </row>
    <row r="84" ht="22.5" customHeight="1">
      <c r="A84" s="12">
        <v>46020.0</v>
      </c>
      <c r="B84" s="14" t="s">
        <v>18</v>
      </c>
      <c r="C84" s="14" t="s">
        <v>97</v>
      </c>
      <c r="D84" s="18">
        <v>1.0</v>
      </c>
      <c r="E84" s="14" t="s">
        <v>19</v>
      </c>
    </row>
    <row r="85" ht="22.5" customHeight="1">
      <c r="A85" s="12">
        <v>46057.0</v>
      </c>
      <c r="B85" s="14" t="s">
        <v>15</v>
      </c>
      <c r="C85" s="14" t="s">
        <v>97</v>
      </c>
      <c r="D85" s="18">
        <v>1.0</v>
      </c>
      <c r="E85" s="14" t="s">
        <v>19</v>
      </c>
    </row>
    <row r="86" ht="22.5" customHeight="1">
      <c r="A86" s="54">
        <v>45834.0</v>
      </c>
      <c r="B86" s="55" t="s">
        <v>18</v>
      </c>
      <c r="C86" s="55" t="s">
        <v>99</v>
      </c>
      <c r="D86" s="56">
        <v>3.0</v>
      </c>
      <c r="E86" s="14" t="s">
        <v>19</v>
      </c>
    </row>
    <row r="87" ht="22.5" customHeight="1">
      <c r="A87" s="12">
        <v>45930.0</v>
      </c>
      <c r="B87" s="14" t="s">
        <v>18</v>
      </c>
      <c r="C87" s="14" t="s">
        <v>99</v>
      </c>
      <c r="D87" s="18">
        <v>6.0</v>
      </c>
      <c r="E87" s="14" t="s">
        <v>19</v>
      </c>
    </row>
    <row r="88" ht="22.5" customHeight="1">
      <c r="A88" s="12">
        <v>45930.0</v>
      </c>
      <c r="B88" s="14" t="s">
        <v>15</v>
      </c>
      <c r="C88" s="14" t="s">
        <v>99</v>
      </c>
      <c r="D88" s="18">
        <v>3.0</v>
      </c>
      <c r="E88" s="14" t="s">
        <v>19</v>
      </c>
    </row>
    <row r="89" ht="22.5" customHeight="1">
      <c r="A89" s="12">
        <v>45958.0</v>
      </c>
      <c r="B89" s="14" t="s">
        <v>15</v>
      </c>
      <c r="C89" s="14" t="s">
        <v>99</v>
      </c>
      <c r="D89" s="18">
        <v>2.0</v>
      </c>
      <c r="E89" s="14" t="s">
        <v>19</v>
      </c>
    </row>
    <row r="90" ht="22.5" customHeight="1">
      <c r="A90" s="12">
        <v>46020.0</v>
      </c>
      <c r="B90" s="14" t="s">
        <v>18</v>
      </c>
      <c r="C90" s="14" t="s">
        <v>99</v>
      </c>
      <c r="D90" s="18">
        <v>4.0</v>
      </c>
      <c r="E90" s="14" t="s">
        <v>19</v>
      </c>
    </row>
    <row r="91" ht="22.5" customHeight="1">
      <c r="A91" s="12">
        <v>46057.0</v>
      </c>
      <c r="B91" s="14" t="s">
        <v>15</v>
      </c>
      <c r="C91" s="14" t="s">
        <v>99</v>
      </c>
      <c r="D91" s="18">
        <v>3.0</v>
      </c>
      <c r="E91" s="14" t="s">
        <v>19</v>
      </c>
    </row>
    <row r="92" ht="22.5" customHeight="1">
      <c r="A92" s="54">
        <v>45834.0</v>
      </c>
      <c r="B92" s="55" t="s">
        <v>18</v>
      </c>
      <c r="C92" s="55" t="s">
        <v>101</v>
      </c>
      <c r="D92" s="56">
        <v>2.0</v>
      </c>
      <c r="E92" s="14" t="s">
        <v>19</v>
      </c>
    </row>
    <row r="93" ht="22.5" customHeight="1">
      <c r="A93" s="12">
        <v>45930.0</v>
      </c>
      <c r="B93" s="14" t="s">
        <v>18</v>
      </c>
      <c r="C93" s="14" t="s">
        <v>101</v>
      </c>
      <c r="D93" s="18">
        <v>5.0</v>
      </c>
      <c r="E93" s="14" t="s">
        <v>19</v>
      </c>
    </row>
    <row r="94" ht="22.5" customHeight="1">
      <c r="A94" s="12">
        <v>45930.0</v>
      </c>
      <c r="B94" s="14" t="s">
        <v>15</v>
      </c>
      <c r="C94" s="14" t="s">
        <v>101</v>
      </c>
      <c r="D94" s="18">
        <v>1.0</v>
      </c>
      <c r="E94" s="14" t="s">
        <v>19</v>
      </c>
    </row>
    <row r="95" ht="22.5" customHeight="1">
      <c r="A95" s="12">
        <v>45958.0</v>
      </c>
      <c r="B95" s="14" t="s">
        <v>15</v>
      </c>
      <c r="C95" s="14" t="s">
        <v>101</v>
      </c>
      <c r="D95" s="18">
        <v>1.0</v>
      </c>
      <c r="E95" s="14" t="s">
        <v>19</v>
      </c>
    </row>
    <row r="96" ht="22.5" customHeight="1">
      <c r="A96" s="12">
        <v>46020.0</v>
      </c>
      <c r="B96" s="14" t="s">
        <v>18</v>
      </c>
      <c r="C96" s="14" t="s">
        <v>101</v>
      </c>
      <c r="D96" s="18">
        <v>1.0</v>
      </c>
      <c r="E96" s="14" t="s">
        <v>19</v>
      </c>
    </row>
    <row r="97" ht="22.5" customHeight="1">
      <c r="A97" s="54">
        <v>45834.0</v>
      </c>
      <c r="B97" s="55" t="s">
        <v>18</v>
      </c>
      <c r="C97" s="55" t="s">
        <v>102</v>
      </c>
      <c r="D97" s="56">
        <v>2.0</v>
      </c>
      <c r="E97" s="14" t="s">
        <v>19</v>
      </c>
    </row>
    <row r="98" ht="22.5" customHeight="1">
      <c r="A98" s="12">
        <v>45930.0</v>
      </c>
      <c r="B98" s="14" t="s">
        <v>18</v>
      </c>
      <c r="C98" s="14" t="s">
        <v>102</v>
      </c>
      <c r="D98" s="18">
        <v>5.0</v>
      </c>
      <c r="E98" s="14" t="s">
        <v>19</v>
      </c>
    </row>
    <row r="99" ht="22.5" customHeight="1">
      <c r="A99" s="12">
        <v>45930.0</v>
      </c>
      <c r="B99" s="14" t="s">
        <v>15</v>
      </c>
      <c r="C99" s="14" t="s">
        <v>102</v>
      </c>
      <c r="D99" s="18">
        <v>1.0</v>
      </c>
      <c r="E99" s="14" t="s">
        <v>19</v>
      </c>
    </row>
    <row r="100" ht="22.5" customHeight="1">
      <c r="A100" s="12">
        <v>45958.0</v>
      </c>
      <c r="B100" s="14" t="s">
        <v>15</v>
      </c>
      <c r="C100" s="14" t="s">
        <v>102</v>
      </c>
      <c r="D100" s="18">
        <v>1.0</v>
      </c>
      <c r="E100" s="14" t="s">
        <v>19</v>
      </c>
    </row>
    <row r="101" ht="22.5" customHeight="1">
      <c r="A101" s="12">
        <v>46020.0</v>
      </c>
      <c r="B101" s="14" t="s">
        <v>18</v>
      </c>
      <c r="C101" s="14" t="s">
        <v>102</v>
      </c>
      <c r="D101" s="18">
        <v>1.0</v>
      </c>
      <c r="E101" s="14" t="s">
        <v>19</v>
      </c>
    </row>
    <row r="102" ht="22.5" customHeight="1">
      <c r="A102" s="12">
        <v>46057.0</v>
      </c>
      <c r="B102" s="14" t="s">
        <v>15</v>
      </c>
      <c r="C102" s="14" t="s">
        <v>102</v>
      </c>
      <c r="D102" s="18">
        <v>1.0</v>
      </c>
      <c r="E102" s="14" t="s">
        <v>19</v>
      </c>
    </row>
    <row r="103" ht="22.5" customHeight="1">
      <c r="A103" s="12">
        <v>46009.0</v>
      </c>
      <c r="B103" s="14" t="s">
        <v>18</v>
      </c>
      <c r="C103" s="14" t="s">
        <v>104</v>
      </c>
      <c r="D103" s="18">
        <v>1.0</v>
      </c>
      <c r="E103" s="14" t="s">
        <v>19</v>
      </c>
    </row>
    <row r="104" ht="22.5" customHeight="1">
      <c r="A104" s="54">
        <v>45806.0</v>
      </c>
      <c r="B104" s="55" t="s">
        <v>18</v>
      </c>
      <c r="C104" s="55" t="s">
        <v>105</v>
      </c>
      <c r="D104" s="56">
        <v>613.0</v>
      </c>
      <c r="E104" s="14" t="s">
        <v>19</v>
      </c>
    </row>
    <row r="105" ht="22.5" customHeight="1">
      <c r="A105" s="54">
        <v>45806.0</v>
      </c>
      <c r="B105" s="55" t="s">
        <v>15</v>
      </c>
      <c r="C105" s="55" t="s">
        <v>105</v>
      </c>
      <c r="D105" s="56">
        <v>26.0</v>
      </c>
      <c r="E105" s="14" t="s">
        <v>19</v>
      </c>
    </row>
    <row r="106" ht="22.5" customHeight="1">
      <c r="A106" s="54">
        <v>45806.0</v>
      </c>
      <c r="B106" s="55" t="s">
        <v>15</v>
      </c>
      <c r="C106" s="55" t="s">
        <v>105</v>
      </c>
      <c r="D106" s="56">
        <v>229.0</v>
      </c>
      <c r="E106" s="14" t="s">
        <v>19</v>
      </c>
    </row>
    <row r="107" ht="22.5" customHeight="1">
      <c r="A107" s="54">
        <v>45818.0</v>
      </c>
      <c r="B107" s="55" t="s">
        <v>15</v>
      </c>
      <c r="C107" s="55" t="s">
        <v>105</v>
      </c>
      <c r="D107" s="56">
        <v>63.0</v>
      </c>
      <c r="E107" s="14" t="s">
        <v>19</v>
      </c>
    </row>
    <row r="108" ht="22.5" customHeight="1">
      <c r="A108" s="54">
        <v>45839.0</v>
      </c>
      <c r="B108" s="55" t="s">
        <v>15</v>
      </c>
      <c r="C108" s="55" t="s">
        <v>105</v>
      </c>
      <c r="D108" s="56">
        <v>22.0</v>
      </c>
      <c r="E108" s="14" t="s">
        <v>19</v>
      </c>
    </row>
    <row r="109" ht="22.5" customHeight="1">
      <c r="A109" s="54">
        <v>45848.0</v>
      </c>
      <c r="B109" s="55" t="s">
        <v>15</v>
      </c>
      <c r="C109" s="55" t="s">
        <v>105</v>
      </c>
      <c r="D109" s="56">
        <v>29.0</v>
      </c>
      <c r="E109" s="14" t="s">
        <v>19</v>
      </c>
    </row>
    <row r="110" ht="22.5" customHeight="1">
      <c r="A110" s="12">
        <v>45898.0</v>
      </c>
      <c r="B110" s="14" t="s">
        <v>15</v>
      </c>
      <c r="C110" s="14" t="s">
        <v>105</v>
      </c>
      <c r="D110" s="18">
        <v>189.0</v>
      </c>
      <c r="E110" s="14" t="s">
        <v>19</v>
      </c>
      <c r="I110" s="20" t="s">
        <v>239</v>
      </c>
    </row>
    <row r="111" ht="22.5" customHeight="1">
      <c r="A111" s="12">
        <v>45987.0</v>
      </c>
      <c r="B111" s="14" t="s">
        <v>15</v>
      </c>
      <c r="C111" s="14" t="s">
        <v>105</v>
      </c>
      <c r="D111" s="18">
        <v>55.0</v>
      </c>
      <c r="E111" s="14" t="s">
        <v>19</v>
      </c>
    </row>
    <row r="112" ht="22.5" customHeight="1">
      <c r="A112" s="12">
        <v>45988.0</v>
      </c>
      <c r="B112" s="14" t="s">
        <v>18</v>
      </c>
      <c r="C112" s="14" t="s">
        <v>105</v>
      </c>
      <c r="D112" s="18">
        <v>795.0</v>
      </c>
      <c r="E112" s="14" t="s">
        <v>19</v>
      </c>
    </row>
    <row r="113" ht="22.5" customHeight="1">
      <c r="A113" s="12">
        <v>45993.0</v>
      </c>
      <c r="B113" s="14" t="s">
        <v>15</v>
      </c>
      <c r="C113" s="14" t="s">
        <v>105</v>
      </c>
      <c r="D113" s="18">
        <v>16.0</v>
      </c>
      <c r="E113" s="14" t="s">
        <v>19</v>
      </c>
    </row>
    <row r="114" ht="22.5" customHeight="1">
      <c r="A114" s="12">
        <v>45996.0</v>
      </c>
      <c r="B114" s="14" t="s">
        <v>15</v>
      </c>
      <c r="C114" s="14" t="s">
        <v>105</v>
      </c>
      <c r="D114" s="18">
        <v>60.0</v>
      </c>
      <c r="E114" s="14" t="s">
        <v>19</v>
      </c>
    </row>
    <row r="115" ht="22.5" customHeight="1">
      <c r="A115" s="12">
        <v>46057.0</v>
      </c>
      <c r="B115" s="14" t="s">
        <v>18</v>
      </c>
      <c r="C115" s="14" t="s">
        <v>107</v>
      </c>
      <c r="D115" s="18">
        <v>1.0</v>
      </c>
      <c r="E115" s="14" t="s">
        <v>45</v>
      </c>
    </row>
    <row r="116" ht="22.5" customHeight="1">
      <c r="A116" s="12">
        <v>46057.0</v>
      </c>
      <c r="B116" s="14" t="s">
        <v>18</v>
      </c>
      <c r="C116" s="14" t="s">
        <v>108</v>
      </c>
      <c r="D116" s="18">
        <v>9.0</v>
      </c>
      <c r="E116" s="14" t="s">
        <v>19</v>
      </c>
    </row>
    <row r="117" ht="22.5" customHeight="1">
      <c r="A117" s="12">
        <v>45937.0</v>
      </c>
      <c r="B117" s="14" t="s">
        <v>18</v>
      </c>
      <c r="C117" s="14" t="s">
        <v>110</v>
      </c>
      <c r="D117" s="18">
        <v>5.0</v>
      </c>
      <c r="E117" s="14" t="s">
        <v>19</v>
      </c>
    </row>
    <row r="118" ht="22.5" customHeight="1">
      <c r="A118" s="12">
        <v>45937.0</v>
      </c>
      <c r="B118" s="14" t="s">
        <v>15</v>
      </c>
      <c r="C118" s="14" t="s">
        <v>110</v>
      </c>
      <c r="D118" s="18">
        <v>2.0</v>
      </c>
      <c r="E118" s="14" t="s">
        <v>19</v>
      </c>
    </row>
    <row r="119" ht="22.5" customHeight="1">
      <c r="A119" s="12">
        <v>45889.0</v>
      </c>
      <c r="B119" s="14" t="s">
        <v>15</v>
      </c>
      <c r="C119" s="14" t="s">
        <v>111</v>
      </c>
      <c r="D119" s="18">
        <v>110.0</v>
      </c>
      <c r="E119" s="14" t="s">
        <v>19</v>
      </c>
    </row>
    <row r="120" ht="22.5" customHeight="1">
      <c r="A120" s="12">
        <v>45937.0</v>
      </c>
      <c r="B120" s="14" t="s">
        <v>18</v>
      </c>
      <c r="C120" s="14" t="s">
        <v>111</v>
      </c>
      <c r="D120" s="18">
        <v>2820.0</v>
      </c>
      <c r="E120" s="14" t="s">
        <v>19</v>
      </c>
    </row>
    <row r="121" ht="22.5" customHeight="1">
      <c r="A121" s="12">
        <v>45937.0</v>
      </c>
      <c r="B121" s="14" t="s">
        <v>18</v>
      </c>
      <c r="C121" s="14" t="s">
        <v>111</v>
      </c>
      <c r="D121" s="18">
        <v>354.0</v>
      </c>
      <c r="E121" s="14" t="s">
        <v>19</v>
      </c>
    </row>
    <row r="122" ht="22.5" customHeight="1">
      <c r="A122" s="12">
        <v>45939.0</v>
      </c>
      <c r="B122" s="14" t="s">
        <v>15</v>
      </c>
      <c r="C122" s="14" t="s">
        <v>111</v>
      </c>
      <c r="D122" s="18">
        <v>62.0</v>
      </c>
      <c r="E122" s="14" t="s">
        <v>19</v>
      </c>
    </row>
    <row r="123" ht="22.5" customHeight="1">
      <c r="A123" s="12">
        <v>45901.0</v>
      </c>
      <c r="B123" s="14" t="s">
        <v>18</v>
      </c>
      <c r="C123" s="14" t="s">
        <v>113</v>
      </c>
      <c r="D123" s="18">
        <v>300.0</v>
      </c>
      <c r="E123" s="14" t="s">
        <v>19</v>
      </c>
    </row>
    <row r="124" ht="22.5" customHeight="1">
      <c r="A124" s="12">
        <v>45902.0</v>
      </c>
      <c r="B124" s="14" t="s">
        <v>15</v>
      </c>
      <c r="C124" s="14" t="s">
        <v>113</v>
      </c>
      <c r="D124" s="18">
        <v>33.0</v>
      </c>
      <c r="E124" s="14" t="s">
        <v>19</v>
      </c>
    </row>
    <row r="125" ht="22.5" customHeight="1">
      <c r="A125" s="12">
        <v>45937.0</v>
      </c>
      <c r="B125" s="14" t="s">
        <v>18</v>
      </c>
      <c r="C125" s="14" t="s">
        <v>113</v>
      </c>
      <c r="D125" s="18">
        <v>172.0</v>
      </c>
      <c r="E125" s="14" t="s">
        <v>19</v>
      </c>
    </row>
    <row r="126" ht="22.5" customHeight="1">
      <c r="A126" s="12">
        <v>45901.0</v>
      </c>
      <c r="B126" s="14" t="s">
        <v>18</v>
      </c>
      <c r="C126" s="14" t="s">
        <v>115</v>
      </c>
      <c r="D126" s="18">
        <v>300.0</v>
      </c>
      <c r="E126" s="14" t="s">
        <v>19</v>
      </c>
    </row>
    <row r="127" ht="22.5" customHeight="1">
      <c r="A127" s="12">
        <v>45902.0</v>
      </c>
      <c r="B127" s="14" t="s">
        <v>15</v>
      </c>
      <c r="C127" s="14" t="s">
        <v>115</v>
      </c>
      <c r="D127" s="18">
        <v>26.0</v>
      </c>
      <c r="E127" s="14" t="s">
        <v>19</v>
      </c>
    </row>
    <row r="128" ht="22.5" customHeight="1">
      <c r="A128" s="12">
        <v>45937.0</v>
      </c>
      <c r="B128" s="14" t="s">
        <v>18</v>
      </c>
      <c r="C128" s="14" t="s">
        <v>115</v>
      </c>
      <c r="D128" s="18">
        <v>97.0</v>
      </c>
      <c r="E128" s="14" t="s">
        <v>19</v>
      </c>
    </row>
    <row r="129" ht="22.5" customHeight="1">
      <c r="A129" s="12">
        <v>45937.0</v>
      </c>
      <c r="B129" s="14" t="s">
        <v>18</v>
      </c>
      <c r="C129" s="14" t="s">
        <v>117</v>
      </c>
      <c r="D129" s="18">
        <v>60.0</v>
      </c>
      <c r="E129" s="14" t="s">
        <v>19</v>
      </c>
    </row>
    <row r="130" ht="22.5" customHeight="1">
      <c r="A130" s="12">
        <v>46049.0</v>
      </c>
      <c r="B130" s="14" t="s">
        <v>18</v>
      </c>
      <c r="C130" s="14" t="s">
        <v>118</v>
      </c>
      <c r="D130" s="18">
        <v>56.0</v>
      </c>
      <c r="E130" s="14" t="s">
        <v>19</v>
      </c>
    </row>
    <row r="131" ht="22.5" customHeight="1">
      <c r="A131" s="12">
        <v>45937.0</v>
      </c>
      <c r="B131" s="14" t="s">
        <v>18</v>
      </c>
      <c r="C131" s="14" t="s">
        <v>120</v>
      </c>
      <c r="D131" s="18">
        <v>72.0</v>
      </c>
      <c r="E131" s="14" t="s">
        <v>19</v>
      </c>
    </row>
    <row r="132" ht="22.5" customHeight="1">
      <c r="A132" s="12">
        <v>46009.0</v>
      </c>
      <c r="B132" s="14" t="s">
        <v>18</v>
      </c>
      <c r="C132" s="14" t="s">
        <v>121</v>
      </c>
      <c r="D132" s="18">
        <v>1.0</v>
      </c>
      <c r="E132" s="14" t="s">
        <v>19</v>
      </c>
    </row>
    <row r="133" ht="22.5" customHeight="1">
      <c r="A133" s="12">
        <v>45937.0</v>
      </c>
      <c r="B133" s="14" t="s">
        <v>18</v>
      </c>
      <c r="C133" s="14" t="s">
        <v>123</v>
      </c>
      <c r="D133" s="18">
        <v>249.0</v>
      </c>
      <c r="E133" s="14" t="s">
        <v>19</v>
      </c>
    </row>
    <row r="134" ht="22.5" customHeight="1">
      <c r="A134" s="12">
        <v>45937.0</v>
      </c>
      <c r="B134" s="14" t="s">
        <v>15</v>
      </c>
      <c r="C134" s="14" t="s">
        <v>123</v>
      </c>
      <c r="D134" s="18">
        <v>58.0</v>
      </c>
      <c r="E134" s="14" t="s">
        <v>19</v>
      </c>
    </row>
    <row r="135" ht="22.5" customHeight="1">
      <c r="A135" s="12">
        <v>45889.0</v>
      </c>
      <c r="B135" s="14" t="s">
        <v>15</v>
      </c>
      <c r="C135" s="14" t="s">
        <v>124</v>
      </c>
      <c r="D135" s="18">
        <v>100.0</v>
      </c>
      <c r="E135" s="14" t="s">
        <v>19</v>
      </c>
    </row>
    <row r="136" ht="22.5" customHeight="1">
      <c r="A136" s="12">
        <v>45939.0</v>
      </c>
      <c r="B136" s="14" t="s">
        <v>15</v>
      </c>
      <c r="C136" s="14" t="s">
        <v>124</v>
      </c>
      <c r="D136" s="18">
        <v>62.0</v>
      </c>
      <c r="E136" s="14" t="s">
        <v>19</v>
      </c>
    </row>
    <row r="137" ht="22.5" customHeight="1">
      <c r="A137" s="12">
        <v>45902.0</v>
      </c>
      <c r="B137" s="14" t="s">
        <v>15</v>
      </c>
      <c r="C137" s="14" t="s">
        <v>126</v>
      </c>
      <c r="D137" s="18">
        <v>600.0</v>
      </c>
      <c r="E137" s="14" t="s">
        <v>19</v>
      </c>
    </row>
    <row r="138" ht="22.5" customHeight="1">
      <c r="A138" s="12">
        <v>45937.0</v>
      </c>
      <c r="B138" s="14" t="s">
        <v>18</v>
      </c>
      <c r="C138" s="14" t="s">
        <v>126</v>
      </c>
      <c r="D138" s="18">
        <v>2736.0</v>
      </c>
      <c r="E138" s="14" t="s">
        <v>19</v>
      </c>
    </row>
    <row r="139" ht="22.5" customHeight="1">
      <c r="A139" s="12">
        <v>45937.0</v>
      </c>
      <c r="B139" s="14" t="s">
        <v>18</v>
      </c>
      <c r="C139" s="14" t="s">
        <v>127</v>
      </c>
      <c r="D139" s="18">
        <v>400.0</v>
      </c>
      <c r="E139" s="14" t="s">
        <v>19</v>
      </c>
    </row>
    <row r="140" ht="22.5" customHeight="1">
      <c r="A140" s="12">
        <v>45898.0</v>
      </c>
      <c r="B140" s="14" t="s">
        <v>18</v>
      </c>
      <c r="C140" s="14" t="s">
        <v>129</v>
      </c>
      <c r="D140" s="18">
        <v>427.0</v>
      </c>
      <c r="E140" s="14" t="s">
        <v>19</v>
      </c>
    </row>
    <row r="141" ht="22.5" customHeight="1">
      <c r="A141" s="12">
        <v>45902.0</v>
      </c>
      <c r="B141" s="14" t="s">
        <v>15</v>
      </c>
      <c r="C141" s="14" t="s">
        <v>129</v>
      </c>
      <c r="D141" s="18">
        <v>427.0</v>
      </c>
      <c r="E141" s="14" t="s">
        <v>19</v>
      </c>
    </row>
    <row r="142" ht="22.5" customHeight="1">
      <c r="A142" s="12">
        <v>45937.0</v>
      </c>
      <c r="B142" s="14" t="s">
        <v>18</v>
      </c>
      <c r="C142" s="14" t="s">
        <v>129</v>
      </c>
      <c r="D142" s="18">
        <v>513.0</v>
      </c>
      <c r="E142" s="14" t="s">
        <v>19</v>
      </c>
    </row>
    <row r="143" ht="22.5" customHeight="1">
      <c r="A143" s="12">
        <v>46035.0</v>
      </c>
      <c r="B143" s="14" t="s">
        <v>15</v>
      </c>
      <c r="C143" s="14" t="s">
        <v>129</v>
      </c>
      <c r="D143" s="18">
        <v>106.0</v>
      </c>
      <c r="E143" s="14" t="s">
        <v>19</v>
      </c>
    </row>
    <row r="144" ht="22.5" customHeight="1">
      <c r="A144" s="12">
        <v>45898.0</v>
      </c>
      <c r="B144" s="14" t="s">
        <v>18</v>
      </c>
      <c r="C144" s="14" t="s">
        <v>130</v>
      </c>
      <c r="D144" s="18">
        <v>375.0</v>
      </c>
      <c r="E144" s="14" t="s">
        <v>19</v>
      </c>
    </row>
    <row r="145" ht="22.5" customHeight="1">
      <c r="A145" s="12">
        <v>45902.0</v>
      </c>
      <c r="B145" s="14" t="s">
        <v>15</v>
      </c>
      <c r="C145" s="14" t="s">
        <v>130</v>
      </c>
      <c r="D145" s="18">
        <v>375.0</v>
      </c>
      <c r="E145" s="14" t="s">
        <v>19</v>
      </c>
    </row>
    <row r="146" ht="22.5" customHeight="1">
      <c r="A146" s="12">
        <v>45937.0</v>
      </c>
      <c r="B146" s="14" t="s">
        <v>18</v>
      </c>
      <c r="C146" s="14" t="s">
        <v>130</v>
      </c>
      <c r="D146" s="18">
        <v>362.0</v>
      </c>
      <c r="E146" s="14" t="s">
        <v>19</v>
      </c>
    </row>
    <row r="147" ht="22.5" customHeight="1">
      <c r="A147" s="12">
        <v>46035.0</v>
      </c>
      <c r="B147" s="14" t="s">
        <v>15</v>
      </c>
      <c r="C147" s="14" t="s">
        <v>130</v>
      </c>
      <c r="D147" s="18">
        <v>22.0</v>
      </c>
      <c r="E147" s="14" t="s">
        <v>19</v>
      </c>
    </row>
    <row r="148" ht="22.5" customHeight="1">
      <c r="A148" s="12">
        <v>45937.0</v>
      </c>
      <c r="B148" s="14" t="s">
        <v>18</v>
      </c>
      <c r="C148" s="14" t="s">
        <v>131</v>
      </c>
      <c r="D148" s="18">
        <v>800.0</v>
      </c>
      <c r="E148" s="14" t="s">
        <v>19</v>
      </c>
    </row>
    <row r="149" ht="22.5" customHeight="1">
      <c r="A149" s="12">
        <v>45952.0</v>
      </c>
      <c r="B149" s="14" t="s">
        <v>18</v>
      </c>
      <c r="C149" s="14" t="s">
        <v>132</v>
      </c>
      <c r="D149" s="18">
        <v>230.0</v>
      </c>
      <c r="E149" s="14" t="s">
        <v>19</v>
      </c>
    </row>
    <row r="150" ht="22.5" customHeight="1">
      <c r="A150" s="12">
        <v>45958.0</v>
      </c>
      <c r="B150" s="14" t="s">
        <v>15</v>
      </c>
      <c r="C150" s="14" t="s">
        <v>132</v>
      </c>
      <c r="D150" s="18">
        <v>100.0</v>
      </c>
      <c r="E150" s="14" t="s">
        <v>19</v>
      </c>
    </row>
    <row r="151" ht="22.5" customHeight="1">
      <c r="A151" s="12">
        <v>46049.0</v>
      </c>
      <c r="B151" s="14" t="s">
        <v>18</v>
      </c>
      <c r="C151" s="14" t="s">
        <v>133</v>
      </c>
      <c r="D151" s="18">
        <v>89.0</v>
      </c>
      <c r="E151" s="14" t="s">
        <v>19</v>
      </c>
    </row>
    <row r="152" ht="22.5" customHeight="1">
      <c r="A152" s="12">
        <v>45952.0</v>
      </c>
      <c r="B152" s="14" t="s">
        <v>18</v>
      </c>
      <c r="C152" s="14" t="s">
        <v>134</v>
      </c>
      <c r="D152" s="18">
        <v>314.0</v>
      </c>
      <c r="E152" s="14" t="s">
        <v>19</v>
      </c>
    </row>
    <row r="153" ht="22.5" customHeight="1">
      <c r="A153" s="12">
        <v>45958.0</v>
      </c>
      <c r="B153" s="14" t="s">
        <v>15</v>
      </c>
      <c r="C153" s="14" t="s">
        <v>134</v>
      </c>
      <c r="D153" s="18">
        <v>200.0</v>
      </c>
      <c r="E153" s="14" t="s">
        <v>19</v>
      </c>
    </row>
    <row r="154" ht="22.5" customHeight="1">
      <c r="A154" s="12">
        <v>45937.0</v>
      </c>
      <c r="B154" s="14" t="s">
        <v>18</v>
      </c>
      <c r="C154" s="14" t="s">
        <v>135</v>
      </c>
      <c r="D154" s="18">
        <v>100.0</v>
      </c>
      <c r="E154" s="14" t="s">
        <v>19</v>
      </c>
    </row>
    <row r="155" ht="22.5" customHeight="1">
      <c r="A155" s="12">
        <v>45889.0</v>
      </c>
      <c r="B155" s="14" t="s">
        <v>15</v>
      </c>
      <c r="C155" s="14" t="s">
        <v>136</v>
      </c>
      <c r="D155" s="18">
        <v>8.0</v>
      </c>
      <c r="E155" s="14" t="s">
        <v>19</v>
      </c>
    </row>
    <row r="156" ht="22.5" customHeight="1">
      <c r="A156" s="12">
        <v>45937.0</v>
      </c>
      <c r="B156" s="14" t="s">
        <v>18</v>
      </c>
      <c r="C156" s="14" t="s">
        <v>136</v>
      </c>
      <c r="D156" s="18">
        <v>70.0</v>
      </c>
      <c r="E156" s="14" t="s">
        <v>19</v>
      </c>
    </row>
    <row r="157" ht="22.5" customHeight="1">
      <c r="A157" s="12">
        <v>45902.0</v>
      </c>
      <c r="B157" s="14" t="s">
        <v>18</v>
      </c>
      <c r="C157" s="14" t="s">
        <v>137</v>
      </c>
      <c r="D157" s="18">
        <v>420.0</v>
      </c>
      <c r="E157" s="14" t="s">
        <v>19</v>
      </c>
    </row>
    <row r="158" ht="22.5" customHeight="1">
      <c r="A158" s="12">
        <v>45923.0</v>
      </c>
      <c r="B158" s="14" t="s">
        <v>15</v>
      </c>
      <c r="C158" s="14" t="s">
        <v>137</v>
      </c>
      <c r="D158" s="18">
        <v>267.0</v>
      </c>
      <c r="E158" s="14" t="s">
        <v>19</v>
      </c>
    </row>
    <row r="159" ht="22.5" customHeight="1">
      <c r="A159" s="12">
        <v>46044.0</v>
      </c>
      <c r="B159" s="14" t="s">
        <v>18</v>
      </c>
      <c r="C159" s="14" t="s">
        <v>137</v>
      </c>
      <c r="D159" s="18">
        <v>151.0</v>
      </c>
      <c r="E159" s="14" t="s">
        <v>19</v>
      </c>
    </row>
    <row r="160" ht="22.5" customHeight="1">
      <c r="A160" s="12">
        <v>46055.0</v>
      </c>
      <c r="B160" s="14" t="s">
        <v>15</v>
      </c>
      <c r="C160" s="14" t="s">
        <v>137</v>
      </c>
      <c r="D160" s="18">
        <v>250.0</v>
      </c>
      <c r="E160" s="14" t="s">
        <v>19</v>
      </c>
    </row>
    <row r="161" ht="22.5" customHeight="1">
      <c r="A161" s="12">
        <v>45898.0</v>
      </c>
      <c r="B161" s="14" t="s">
        <v>18</v>
      </c>
      <c r="C161" s="14" t="s">
        <v>138</v>
      </c>
      <c r="D161" s="18">
        <v>95.0</v>
      </c>
      <c r="E161" s="14" t="s">
        <v>19</v>
      </c>
    </row>
    <row r="162" ht="22.5" customHeight="1">
      <c r="A162" s="12">
        <v>45923.0</v>
      </c>
      <c r="B162" s="14" t="s">
        <v>15</v>
      </c>
      <c r="C162" s="14" t="s">
        <v>138</v>
      </c>
      <c r="D162" s="18">
        <v>23.0</v>
      </c>
      <c r="E162" s="14" t="s">
        <v>19</v>
      </c>
    </row>
    <row r="163" ht="22.5" customHeight="1">
      <c r="A163" s="12">
        <v>46059.0</v>
      </c>
      <c r="B163" s="14" t="s">
        <v>18</v>
      </c>
      <c r="C163" s="14" t="s">
        <v>139</v>
      </c>
      <c r="D163" s="18">
        <v>1.0</v>
      </c>
      <c r="E163" s="42"/>
    </row>
    <row r="164" ht="22.5" customHeight="1">
      <c r="A164" s="12">
        <v>45889.0</v>
      </c>
      <c r="B164" s="14" t="s">
        <v>15</v>
      </c>
      <c r="C164" s="14" t="s">
        <v>140</v>
      </c>
      <c r="D164" s="18">
        <v>1.0</v>
      </c>
      <c r="E164" s="14" t="s">
        <v>19</v>
      </c>
    </row>
    <row r="165" ht="22.5" customHeight="1">
      <c r="A165" s="12">
        <v>46049.0</v>
      </c>
      <c r="B165" s="14" t="s">
        <v>18</v>
      </c>
      <c r="C165" s="14" t="s">
        <v>140</v>
      </c>
      <c r="D165" s="18">
        <v>2.0</v>
      </c>
      <c r="E165" s="14" t="s">
        <v>19</v>
      </c>
    </row>
    <row r="166" ht="22.5" customHeight="1">
      <c r="A166" s="12">
        <v>46057.0</v>
      </c>
      <c r="B166" s="14" t="s">
        <v>18</v>
      </c>
      <c r="C166" s="14" t="s">
        <v>141</v>
      </c>
      <c r="D166" s="18">
        <v>57.0</v>
      </c>
      <c r="E166" s="14" t="s">
        <v>19</v>
      </c>
    </row>
    <row r="167" ht="22.5" customHeight="1">
      <c r="A167" s="54">
        <v>45834.0</v>
      </c>
      <c r="B167" s="55" t="s">
        <v>18</v>
      </c>
      <c r="C167" s="55" t="s">
        <v>142</v>
      </c>
      <c r="D167" s="56">
        <v>1000.0</v>
      </c>
      <c r="E167" s="14" t="s">
        <v>19</v>
      </c>
    </row>
    <row r="168" ht="22.5" customHeight="1">
      <c r="A168" s="54">
        <v>45834.0</v>
      </c>
      <c r="B168" s="55" t="s">
        <v>18</v>
      </c>
      <c r="C168" s="55" t="s">
        <v>143</v>
      </c>
      <c r="D168" s="56">
        <v>100.0</v>
      </c>
      <c r="E168" s="14" t="s">
        <v>19</v>
      </c>
    </row>
    <row r="169" ht="22.5" customHeight="1">
      <c r="A169" s="54">
        <v>45834.0</v>
      </c>
      <c r="B169" s="55" t="s">
        <v>18</v>
      </c>
      <c r="C169" s="55" t="s">
        <v>144</v>
      </c>
      <c r="D169" s="56">
        <v>100.0</v>
      </c>
      <c r="E169" s="14" t="s">
        <v>19</v>
      </c>
    </row>
    <row r="170" ht="22.5" customHeight="1">
      <c r="A170" s="54">
        <v>45806.0</v>
      </c>
      <c r="B170" s="55" t="s">
        <v>18</v>
      </c>
      <c r="C170" s="55" t="s">
        <v>146</v>
      </c>
      <c r="D170" s="56">
        <v>324.0</v>
      </c>
      <c r="E170" s="14" t="s">
        <v>19</v>
      </c>
    </row>
    <row r="171" ht="22.5" customHeight="1">
      <c r="A171" s="12">
        <v>45951.0</v>
      </c>
      <c r="B171" s="14" t="s">
        <v>15</v>
      </c>
      <c r="C171" s="14" t="s">
        <v>146</v>
      </c>
      <c r="D171" s="18">
        <v>1.0</v>
      </c>
      <c r="E171" s="14" t="s">
        <v>19</v>
      </c>
    </row>
    <row r="172" ht="22.5" customHeight="1">
      <c r="A172" s="12">
        <v>45958.0</v>
      </c>
      <c r="B172" s="14" t="s">
        <v>15</v>
      </c>
      <c r="C172" s="14" t="s">
        <v>146</v>
      </c>
      <c r="D172" s="18">
        <v>184.0</v>
      </c>
      <c r="E172" s="14" t="s">
        <v>19</v>
      </c>
    </row>
    <row r="173" ht="22.5" customHeight="1">
      <c r="A173" s="12">
        <v>45699.0</v>
      </c>
      <c r="B173" s="14" t="s">
        <v>18</v>
      </c>
      <c r="C173" s="14" t="s">
        <v>147</v>
      </c>
      <c r="D173" s="18">
        <v>10.0</v>
      </c>
      <c r="E173" s="14" t="s">
        <v>19</v>
      </c>
    </row>
    <row r="174" ht="22.5" customHeight="1">
      <c r="A174" s="12">
        <v>45973.0</v>
      </c>
      <c r="B174" s="14" t="s">
        <v>18</v>
      </c>
      <c r="C174" s="14" t="s">
        <v>148</v>
      </c>
      <c r="D174" s="18">
        <v>30.0</v>
      </c>
      <c r="E174" s="14" t="s">
        <v>19</v>
      </c>
    </row>
    <row r="175" ht="22.5" customHeight="1">
      <c r="A175" s="12">
        <v>45973.0</v>
      </c>
      <c r="B175" s="14" t="s">
        <v>18</v>
      </c>
      <c r="C175" s="14" t="s">
        <v>149</v>
      </c>
      <c r="D175" s="18">
        <v>8.0</v>
      </c>
      <c r="E175" s="14" t="s">
        <v>19</v>
      </c>
    </row>
    <row r="176" ht="22.5" customHeight="1">
      <c r="A176" s="12">
        <v>45973.0</v>
      </c>
      <c r="B176" s="14" t="s">
        <v>18</v>
      </c>
      <c r="C176" s="14" t="s">
        <v>150</v>
      </c>
      <c r="D176" s="18">
        <v>40.0</v>
      </c>
      <c r="E176" s="14" t="s">
        <v>19</v>
      </c>
    </row>
    <row r="177" ht="22.5" customHeight="1">
      <c r="A177" s="12">
        <v>46008.0</v>
      </c>
      <c r="B177" s="14" t="s">
        <v>18</v>
      </c>
      <c r="C177" s="14" t="s">
        <v>151</v>
      </c>
      <c r="D177" s="18">
        <v>20.0</v>
      </c>
      <c r="E177" s="14" t="s">
        <v>19</v>
      </c>
    </row>
    <row r="178" ht="22.5" customHeight="1">
      <c r="A178" s="12">
        <v>46008.0</v>
      </c>
      <c r="B178" s="14" t="s">
        <v>18</v>
      </c>
      <c r="C178" s="14" t="s">
        <v>152</v>
      </c>
      <c r="D178" s="18">
        <v>30.0</v>
      </c>
      <c r="E178" s="14" t="s">
        <v>19</v>
      </c>
    </row>
    <row r="179" ht="22.5" customHeight="1">
      <c r="A179" s="12">
        <v>46009.0</v>
      </c>
      <c r="B179" s="14" t="s">
        <v>18</v>
      </c>
      <c r="C179" s="14" t="s">
        <v>153</v>
      </c>
      <c r="D179" s="18">
        <v>1.0</v>
      </c>
      <c r="E179" s="14" t="s">
        <v>251</v>
      </c>
    </row>
    <row r="180" ht="22.5" customHeight="1">
      <c r="A180" s="12">
        <v>46079.0</v>
      </c>
      <c r="B180" s="14" t="s">
        <v>18</v>
      </c>
      <c r="C180" s="14" t="s">
        <v>154</v>
      </c>
      <c r="D180" s="18">
        <v>10.0</v>
      </c>
      <c r="E180" s="14" t="s">
        <v>19</v>
      </c>
    </row>
    <row r="181" ht="22.5" customHeight="1">
      <c r="A181" s="12">
        <v>46079.0</v>
      </c>
      <c r="B181" s="14" t="s">
        <v>15</v>
      </c>
      <c r="C181" s="14" t="s">
        <v>154</v>
      </c>
      <c r="D181" s="18">
        <v>2.0</v>
      </c>
      <c r="E181" s="14" t="s">
        <v>19</v>
      </c>
    </row>
    <row r="182" ht="22.5" customHeight="1">
      <c r="A182" s="12">
        <v>46009.0</v>
      </c>
      <c r="B182" s="14" t="s">
        <v>18</v>
      </c>
      <c r="C182" s="14" t="s">
        <v>155</v>
      </c>
      <c r="D182" s="18">
        <v>36.0</v>
      </c>
      <c r="E182" s="14" t="s">
        <v>19</v>
      </c>
    </row>
    <row r="183" ht="22.5" customHeight="1">
      <c r="A183" s="12">
        <v>46009.0</v>
      </c>
      <c r="B183" s="14" t="s">
        <v>18</v>
      </c>
      <c r="C183" s="14" t="s">
        <v>156</v>
      </c>
      <c r="D183" s="18">
        <v>1.0</v>
      </c>
      <c r="E183" s="14" t="s">
        <v>19</v>
      </c>
    </row>
    <row r="184" ht="22.5" customHeight="1">
      <c r="A184" s="12">
        <v>46009.0</v>
      </c>
      <c r="B184" s="14" t="s">
        <v>18</v>
      </c>
      <c r="C184" s="14" t="s">
        <v>157</v>
      </c>
      <c r="D184" s="18">
        <v>3.0</v>
      </c>
      <c r="E184" s="14" t="s">
        <v>19</v>
      </c>
    </row>
    <row r="185" ht="22.5" customHeight="1">
      <c r="A185" s="12">
        <v>46009.0</v>
      </c>
      <c r="B185" s="14" t="s">
        <v>18</v>
      </c>
      <c r="C185" s="14" t="s">
        <v>158</v>
      </c>
      <c r="D185" s="18">
        <v>1.0</v>
      </c>
      <c r="E185" s="14" t="s">
        <v>19</v>
      </c>
    </row>
    <row r="186" ht="22.5" customHeight="1">
      <c r="A186" s="12">
        <v>46057.0</v>
      </c>
      <c r="B186" s="14" t="s">
        <v>18</v>
      </c>
      <c r="C186" s="14" t="s">
        <v>159</v>
      </c>
      <c r="D186" s="18">
        <v>2.0</v>
      </c>
      <c r="E186" s="14" t="s">
        <v>45</v>
      </c>
    </row>
    <row r="187" ht="22.5" customHeight="1">
      <c r="A187" s="12">
        <v>46062.0</v>
      </c>
      <c r="B187" s="14" t="s">
        <v>18</v>
      </c>
      <c r="C187" s="14" t="s">
        <v>160</v>
      </c>
      <c r="D187" s="18">
        <v>7.0</v>
      </c>
      <c r="E187" s="14" t="s">
        <v>78</v>
      </c>
    </row>
    <row r="188" ht="22.5" customHeight="1">
      <c r="A188" s="12">
        <v>46059.0</v>
      </c>
      <c r="B188" s="14" t="s">
        <v>18</v>
      </c>
      <c r="C188" s="14" t="s">
        <v>161</v>
      </c>
      <c r="D188" s="18">
        <v>1.0</v>
      </c>
      <c r="E188" s="42"/>
    </row>
    <row r="189" ht="22.5" customHeight="1">
      <c r="A189" s="12">
        <v>46009.0</v>
      </c>
      <c r="B189" s="14" t="s">
        <v>18</v>
      </c>
      <c r="C189" s="14" t="s">
        <v>162</v>
      </c>
      <c r="D189" s="18">
        <v>1.0</v>
      </c>
      <c r="E189" s="14" t="s">
        <v>78</v>
      </c>
    </row>
    <row r="190" ht="22.5" customHeight="1">
      <c r="A190" s="12">
        <v>46009.0</v>
      </c>
      <c r="B190" s="14" t="s">
        <v>18</v>
      </c>
      <c r="C190" s="14" t="s">
        <v>163</v>
      </c>
      <c r="D190" s="18">
        <v>1.0</v>
      </c>
      <c r="E190" s="14" t="s">
        <v>78</v>
      </c>
    </row>
    <row r="191" ht="22.5" customHeight="1">
      <c r="A191" s="12">
        <v>46009.0</v>
      </c>
      <c r="B191" s="14" t="s">
        <v>18</v>
      </c>
      <c r="C191" s="14" t="s">
        <v>164</v>
      </c>
      <c r="D191" s="18">
        <v>2.0</v>
      </c>
      <c r="E191" s="14" t="s">
        <v>78</v>
      </c>
    </row>
    <row r="192" ht="22.5" customHeight="1">
      <c r="A192" s="12">
        <v>46009.0</v>
      </c>
      <c r="B192" s="14" t="s">
        <v>18</v>
      </c>
      <c r="C192" s="14" t="s">
        <v>165</v>
      </c>
      <c r="D192" s="18">
        <v>1.0</v>
      </c>
      <c r="E192" s="14" t="s">
        <v>78</v>
      </c>
    </row>
    <row r="193" ht="22.5" customHeight="1">
      <c r="A193" s="12">
        <v>46009.0</v>
      </c>
      <c r="B193" s="14" t="s">
        <v>18</v>
      </c>
      <c r="C193" s="14" t="s">
        <v>166</v>
      </c>
      <c r="D193" s="18">
        <v>1.0</v>
      </c>
      <c r="E193" s="14" t="s">
        <v>78</v>
      </c>
    </row>
    <row r="194" ht="22.5" customHeight="1">
      <c r="A194" s="12">
        <v>46062.0</v>
      </c>
      <c r="B194" s="14" t="s">
        <v>18</v>
      </c>
      <c r="C194" s="14" t="s">
        <v>167</v>
      </c>
      <c r="D194" s="18">
        <v>28.0</v>
      </c>
      <c r="E194" s="14" t="s">
        <v>19</v>
      </c>
    </row>
    <row r="195" ht="22.5" customHeight="1">
      <c r="A195" s="54">
        <v>45806.0</v>
      </c>
      <c r="B195" s="55" t="s">
        <v>18</v>
      </c>
      <c r="C195" s="55" t="s">
        <v>168</v>
      </c>
      <c r="D195" s="56">
        <v>18.0</v>
      </c>
      <c r="E195" s="14" t="s">
        <v>19</v>
      </c>
    </row>
    <row r="196" ht="22.5" customHeight="1">
      <c r="A196" s="12">
        <v>46062.0</v>
      </c>
      <c r="B196" s="14" t="s">
        <v>15</v>
      </c>
      <c r="C196" s="14" t="s">
        <v>168</v>
      </c>
      <c r="D196" s="18">
        <v>9.0</v>
      </c>
      <c r="E196" s="14" t="s">
        <v>45</v>
      </c>
    </row>
    <row r="197" ht="22.5" customHeight="1">
      <c r="A197" s="12">
        <v>46057.0</v>
      </c>
      <c r="B197" s="14" t="s">
        <v>18</v>
      </c>
      <c r="C197" s="14" t="s">
        <v>169</v>
      </c>
      <c r="D197" s="18">
        <v>30.0</v>
      </c>
      <c r="E197" s="14" t="s">
        <v>19</v>
      </c>
    </row>
    <row r="198" ht="22.5" customHeight="1">
      <c r="A198" s="12">
        <v>45889.0</v>
      </c>
      <c r="B198" s="14" t="s">
        <v>15</v>
      </c>
      <c r="C198" s="14" t="s">
        <v>170</v>
      </c>
      <c r="D198" s="18">
        <v>1.0</v>
      </c>
      <c r="E198" s="14" t="s">
        <v>19</v>
      </c>
    </row>
    <row r="199" ht="22.5" customHeight="1">
      <c r="A199" s="12">
        <v>45937.0</v>
      </c>
      <c r="B199" s="14" t="s">
        <v>15</v>
      </c>
      <c r="C199" s="14" t="s">
        <v>170</v>
      </c>
      <c r="D199" s="18">
        <v>1.0</v>
      </c>
      <c r="E199" s="14" t="s">
        <v>19</v>
      </c>
    </row>
    <row r="200" ht="22.5" customHeight="1">
      <c r="A200" s="12">
        <v>46008.0</v>
      </c>
      <c r="B200" s="14" t="s">
        <v>18</v>
      </c>
      <c r="C200" s="14" t="s">
        <v>170</v>
      </c>
      <c r="D200" s="18">
        <v>7.0</v>
      </c>
      <c r="E200" s="14" t="s">
        <v>19</v>
      </c>
    </row>
    <row r="201" ht="22.5" customHeight="1">
      <c r="A201" s="12">
        <v>45889.0</v>
      </c>
      <c r="B201" s="14" t="s">
        <v>15</v>
      </c>
      <c r="C201" s="14" t="s">
        <v>171</v>
      </c>
      <c r="D201" s="18">
        <v>1.0</v>
      </c>
      <c r="E201" s="14" t="s">
        <v>19</v>
      </c>
    </row>
    <row r="202" ht="22.5" customHeight="1">
      <c r="A202" s="12">
        <v>46055.0</v>
      </c>
      <c r="B202" s="14" t="s">
        <v>18</v>
      </c>
      <c r="C202" s="14" t="s">
        <v>172</v>
      </c>
      <c r="D202" s="18">
        <v>316.0</v>
      </c>
      <c r="E202" s="14" t="s">
        <v>19</v>
      </c>
    </row>
    <row r="203" ht="22.5" customHeight="1">
      <c r="A203" s="12">
        <v>46059.0</v>
      </c>
      <c r="B203" s="14" t="s">
        <v>18</v>
      </c>
      <c r="C203" s="14" t="s">
        <v>172</v>
      </c>
      <c r="D203" s="18">
        <v>62.0</v>
      </c>
      <c r="E203" s="14"/>
    </row>
    <row r="204" ht="22.5" customHeight="1">
      <c r="A204" s="12">
        <v>46008.0</v>
      </c>
      <c r="B204" s="14" t="s">
        <v>18</v>
      </c>
      <c r="C204" s="14" t="s">
        <v>173</v>
      </c>
      <c r="D204" s="18">
        <v>1.0</v>
      </c>
      <c r="E204" s="14" t="s">
        <v>19</v>
      </c>
    </row>
    <row r="205" ht="22.5" customHeight="1">
      <c r="A205" s="12">
        <v>46034.0</v>
      </c>
      <c r="B205" s="14" t="s">
        <v>18</v>
      </c>
      <c r="C205" s="14" t="s">
        <v>174</v>
      </c>
      <c r="D205" s="18">
        <v>60.0</v>
      </c>
      <c r="E205" s="14" t="s">
        <v>19</v>
      </c>
    </row>
    <row r="206" ht="22.5" customHeight="1">
      <c r="A206" s="54">
        <v>45806.0</v>
      </c>
      <c r="B206" s="55" t="s">
        <v>18</v>
      </c>
      <c r="C206" s="55" t="s">
        <v>175</v>
      </c>
      <c r="D206" s="56">
        <v>684.0</v>
      </c>
      <c r="E206" s="14" t="s">
        <v>19</v>
      </c>
    </row>
    <row r="207" ht="22.5" customHeight="1">
      <c r="A207" s="54">
        <v>45806.0</v>
      </c>
      <c r="B207" s="55" t="s">
        <v>18</v>
      </c>
      <c r="C207" s="55" t="s">
        <v>177</v>
      </c>
      <c r="D207" s="56">
        <v>11.0</v>
      </c>
      <c r="E207" s="14" t="s">
        <v>19</v>
      </c>
    </row>
    <row r="208" ht="22.5" customHeight="1">
      <c r="A208" s="54">
        <v>45834.0</v>
      </c>
      <c r="B208" s="55" t="s">
        <v>18</v>
      </c>
      <c r="C208" s="55" t="s">
        <v>177</v>
      </c>
      <c r="D208" s="56">
        <v>12.0</v>
      </c>
      <c r="E208" s="14" t="s">
        <v>19</v>
      </c>
    </row>
    <row r="209" ht="22.5" customHeight="1">
      <c r="A209" s="12">
        <v>45894.0</v>
      </c>
      <c r="B209" s="14" t="s">
        <v>15</v>
      </c>
      <c r="C209" s="14" t="s">
        <v>177</v>
      </c>
      <c r="D209" s="18">
        <v>6.0</v>
      </c>
      <c r="E209" s="14" t="s">
        <v>19</v>
      </c>
    </row>
    <row r="210" ht="22.5" customHeight="1">
      <c r="A210" s="12">
        <v>46009.0</v>
      </c>
      <c r="B210" s="14" t="s">
        <v>18</v>
      </c>
      <c r="C210" s="14" t="s">
        <v>177</v>
      </c>
      <c r="D210" s="18">
        <v>9.0</v>
      </c>
      <c r="E210" s="14" t="s">
        <v>19</v>
      </c>
    </row>
    <row r="211" ht="22.5" customHeight="1">
      <c r="A211" s="12">
        <v>46049.0</v>
      </c>
      <c r="B211" s="14" t="s">
        <v>15</v>
      </c>
      <c r="C211" s="14" t="s">
        <v>177</v>
      </c>
      <c r="D211" s="18">
        <v>19.0</v>
      </c>
      <c r="E211" s="14" t="s">
        <v>19</v>
      </c>
    </row>
    <row r="212" ht="22.5" customHeight="1">
      <c r="A212" s="12">
        <v>46009.0</v>
      </c>
      <c r="B212" s="14" t="s">
        <v>18</v>
      </c>
      <c r="C212" s="14" t="s">
        <v>179</v>
      </c>
      <c r="D212" s="18">
        <v>2.0</v>
      </c>
      <c r="E212" s="14" t="s">
        <v>19</v>
      </c>
    </row>
    <row r="213" ht="22.5" customHeight="1">
      <c r="A213" s="12">
        <v>46009.0</v>
      </c>
      <c r="B213" s="14" t="s">
        <v>18</v>
      </c>
      <c r="C213" s="14" t="s">
        <v>180</v>
      </c>
      <c r="D213" s="18">
        <v>15.0</v>
      </c>
      <c r="E213" s="14" t="s">
        <v>19</v>
      </c>
    </row>
    <row r="214" ht="22.5" customHeight="1">
      <c r="A214" s="12">
        <v>46062.0</v>
      </c>
      <c r="B214" s="14" t="s">
        <v>18</v>
      </c>
      <c r="C214" s="14" t="s">
        <v>181</v>
      </c>
      <c r="D214" s="18">
        <v>23.0</v>
      </c>
      <c r="E214" s="14" t="s">
        <v>19</v>
      </c>
    </row>
    <row r="215" ht="22.5" customHeight="1">
      <c r="A215" s="12">
        <v>45903.0</v>
      </c>
      <c r="B215" s="14" t="s">
        <v>18</v>
      </c>
      <c r="C215" s="14" t="s">
        <v>182</v>
      </c>
      <c r="D215" s="18">
        <v>12.0</v>
      </c>
      <c r="E215" s="14" t="s">
        <v>19</v>
      </c>
    </row>
    <row r="216" ht="22.5" customHeight="1">
      <c r="A216" s="12">
        <v>45903.0</v>
      </c>
      <c r="B216" s="14" t="s">
        <v>15</v>
      </c>
      <c r="C216" s="14" t="s">
        <v>182</v>
      </c>
      <c r="D216" s="18">
        <v>12.0</v>
      </c>
      <c r="E216" s="14" t="s">
        <v>19</v>
      </c>
    </row>
    <row r="217" ht="22.5" customHeight="1">
      <c r="A217" s="12">
        <v>45908.0</v>
      </c>
      <c r="B217" s="14" t="s">
        <v>18</v>
      </c>
      <c r="C217" s="14" t="s">
        <v>182</v>
      </c>
      <c r="D217" s="18">
        <v>10.0</v>
      </c>
      <c r="E217" s="14" t="s">
        <v>19</v>
      </c>
    </row>
    <row r="218" ht="22.5" customHeight="1">
      <c r="A218" s="12">
        <v>46002.0</v>
      </c>
      <c r="B218" s="14" t="s">
        <v>15</v>
      </c>
      <c r="C218" s="14" t="s">
        <v>182</v>
      </c>
      <c r="D218" s="18">
        <v>4.0</v>
      </c>
      <c r="E218" s="14" t="s">
        <v>19</v>
      </c>
    </row>
    <row r="219" ht="22.5" customHeight="1">
      <c r="A219" s="12">
        <v>46049.0</v>
      </c>
      <c r="B219" s="14" t="s">
        <v>15</v>
      </c>
      <c r="C219" s="14" t="s">
        <v>182</v>
      </c>
      <c r="D219" s="18">
        <v>6.0</v>
      </c>
      <c r="E219" s="14" t="s">
        <v>19</v>
      </c>
    </row>
    <row r="220" ht="22.5" customHeight="1">
      <c r="A220" s="12">
        <v>46052.0</v>
      </c>
      <c r="B220" s="14" t="s">
        <v>18</v>
      </c>
      <c r="C220" s="14" t="s">
        <v>182</v>
      </c>
      <c r="D220" s="18">
        <v>6.0</v>
      </c>
      <c r="E220" s="14" t="s">
        <v>19</v>
      </c>
    </row>
    <row r="221" ht="22.5" customHeight="1">
      <c r="A221" s="12">
        <v>46350.0</v>
      </c>
      <c r="B221" s="14" t="s">
        <v>18</v>
      </c>
      <c r="C221" s="14" t="s">
        <v>83</v>
      </c>
      <c r="D221" s="18">
        <v>16.0</v>
      </c>
      <c r="E221" s="42"/>
    </row>
    <row r="222" ht="22.5" customHeight="1">
      <c r="A222" s="12">
        <v>46042.0</v>
      </c>
      <c r="B222" s="14" t="s">
        <v>15</v>
      </c>
      <c r="C222" s="14" t="s">
        <v>83</v>
      </c>
      <c r="D222" s="18">
        <v>16.0</v>
      </c>
      <c r="E222" s="42"/>
    </row>
    <row r="223" ht="22.5" customHeight="1">
      <c r="A223" s="12">
        <v>46044.0</v>
      </c>
      <c r="B223" s="14" t="s">
        <v>18</v>
      </c>
      <c r="C223" s="14" t="s">
        <v>83</v>
      </c>
      <c r="D223" s="18">
        <v>7.0</v>
      </c>
      <c r="E223" s="42"/>
    </row>
    <row r="224" ht="22.5" customHeight="1">
      <c r="A224" s="12">
        <v>46059.0</v>
      </c>
      <c r="B224" s="14" t="s">
        <v>18</v>
      </c>
      <c r="C224" s="14" t="s">
        <v>183</v>
      </c>
      <c r="D224" s="18">
        <v>2.0</v>
      </c>
      <c r="E224" s="42"/>
    </row>
    <row r="225" ht="22.5" customHeight="1">
      <c r="A225" s="12">
        <v>46009.0</v>
      </c>
      <c r="B225" s="14" t="s">
        <v>18</v>
      </c>
      <c r="C225" s="14" t="s">
        <v>184</v>
      </c>
      <c r="D225" s="18">
        <v>4.0</v>
      </c>
      <c r="E225" s="14" t="s">
        <v>19</v>
      </c>
    </row>
    <row r="226" ht="22.5" customHeight="1">
      <c r="A226" s="12">
        <v>46009.0</v>
      </c>
      <c r="B226" s="14" t="s">
        <v>18</v>
      </c>
      <c r="C226" s="14" t="s">
        <v>185</v>
      </c>
      <c r="D226" s="18">
        <v>21.0</v>
      </c>
      <c r="E226" s="14" t="s">
        <v>19</v>
      </c>
    </row>
    <row r="227" ht="22.5" customHeight="1">
      <c r="A227" s="12">
        <v>46020.0</v>
      </c>
      <c r="B227" s="14" t="s">
        <v>18</v>
      </c>
      <c r="C227" s="14" t="s">
        <v>187</v>
      </c>
      <c r="D227" s="18">
        <v>2.0</v>
      </c>
      <c r="E227" s="14" t="s">
        <v>78</v>
      </c>
    </row>
    <row r="228" ht="22.5" customHeight="1">
      <c r="A228" s="12">
        <v>46020.0</v>
      </c>
      <c r="B228" s="14" t="s">
        <v>18</v>
      </c>
      <c r="C228" s="14" t="s">
        <v>188</v>
      </c>
      <c r="D228" s="18">
        <v>10.0</v>
      </c>
      <c r="E228" s="14" t="s">
        <v>78</v>
      </c>
    </row>
    <row r="229" ht="22.5" customHeight="1">
      <c r="A229" s="12">
        <v>46020.0</v>
      </c>
      <c r="B229" s="14" t="s">
        <v>18</v>
      </c>
      <c r="C229" s="14" t="s">
        <v>189</v>
      </c>
      <c r="D229" s="18">
        <v>2.0</v>
      </c>
      <c r="E229" s="14" t="s">
        <v>78</v>
      </c>
    </row>
    <row r="230" ht="22.5" customHeight="1">
      <c r="A230" s="12">
        <v>45889.0</v>
      </c>
      <c r="B230" s="14" t="s">
        <v>18</v>
      </c>
      <c r="C230" s="14" t="s">
        <v>190</v>
      </c>
      <c r="D230" s="18">
        <v>10.0</v>
      </c>
      <c r="E230" s="14" t="s">
        <v>19</v>
      </c>
    </row>
    <row r="231" ht="22.5" customHeight="1">
      <c r="A231" s="12">
        <v>45920.0</v>
      </c>
      <c r="B231" s="14" t="s">
        <v>15</v>
      </c>
      <c r="C231" s="14" t="s">
        <v>190</v>
      </c>
      <c r="D231" s="18">
        <v>2.0</v>
      </c>
      <c r="E231" s="14" t="s">
        <v>19</v>
      </c>
    </row>
    <row r="232" ht="22.5" customHeight="1">
      <c r="A232" s="12">
        <v>46056.0</v>
      </c>
      <c r="B232" s="14" t="s">
        <v>18</v>
      </c>
      <c r="C232" s="14" t="s">
        <v>190</v>
      </c>
      <c r="D232" s="18">
        <v>10.0</v>
      </c>
      <c r="E232" s="14" t="s">
        <v>78</v>
      </c>
    </row>
    <row r="233" ht="22.5" customHeight="1">
      <c r="A233" s="12">
        <v>46049.0</v>
      </c>
      <c r="B233" s="14" t="s">
        <v>15</v>
      </c>
      <c r="C233" s="14" t="s">
        <v>190</v>
      </c>
      <c r="D233" s="18">
        <v>1.0</v>
      </c>
      <c r="E233" s="14" t="s">
        <v>78</v>
      </c>
    </row>
    <row r="234" ht="22.5" customHeight="1">
      <c r="A234" s="12">
        <v>46037.0</v>
      </c>
      <c r="B234" s="14" t="s">
        <v>15</v>
      </c>
      <c r="C234" s="14" t="s">
        <v>190</v>
      </c>
      <c r="D234" s="18">
        <v>11.0</v>
      </c>
      <c r="E234" s="14" t="s">
        <v>78</v>
      </c>
    </row>
    <row r="235" ht="22.5" customHeight="1">
      <c r="A235" s="12">
        <v>45876.0</v>
      </c>
      <c r="B235" s="14" t="s">
        <v>18</v>
      </c>
      <c r="C235" s="14" t="s">
        <v>191</v>
      </c>
      <c r="D235" s="18">
        <v>10.0</v>
      </c>
      <c r="E235" s="14" t="s">
        <v>78</v>
      </c>
    </row>
    <row r="236" ht="22.5" customHeight="1">
      <c r="A236" s="12">
        <v>46009.0</v>
      </c>
      <c r="B236" s="14" t="s">
        <v>18</v>
      </c>
      <c r="C236" s="14" t="s">
        <v>192</v>
      </c>
      <c r="D236" s="18">
        <v>3.0</v>
      </c>
      <c r="E236" s="14" t="s">
        <v>78</v>
      </c>
    </row>
    <row r="237" ht="22.5" customHeight="1">
      <c r="A237" s="12">
        <v>45952.0</v>
      </c>
      <c r="B237" s="14" t="s">
        <v>18</v>
      </c>
      <c r="C237" s="14" t="s">
        <v>193</v>
      </c>
      <c r="D237" s="18">
        <v>500.0</v>
      </c>
      <c r="E237" s="14" t="s">
        <v>19</v>
      </c>
    </row>
    <row r="238" ht="22.5" customHeight="1">
      <c r="A238" s="12">
        <v>45958.0</v>
      </c>
      <c r="B238" s="14" t="s">
        <v>15</v>
      </c>
      <c r="C238" s="14" t="s">
        <v>193</v>
      </c>
      <c r="D238" s="18">
        <v>200.0</v>
      </c>
      <c r="E238" s="14" t="s">
        <v>19</v>
      </c>
    </row>
    <row r="239" ht="22.5" customHeight="1">
      <c r="A239" s="12">
        <v>46020.0</v>
      </c>
      <c r="B239" s="14" t="s">
        <v>18</v>
      </c>
      <c r="C239" s="14" t="s">
        <v>194</v>
      </c>
      <c r="D239" s="18">
        <v>50.0</v>
      </c>
      <c r="E239" s="14" t="s">
        <v>78</v>
      </c>
    </row>
    <row r="240" ht="22.5" customHeight="1">
      <c r="A240" s="12">
        <v>46038.0</v>
      </c>
      <c r="B240" s="14" t="s">
        <v>15</v>
      </c>
      <c r="C240" s="14" t="s">
        <v>194</v>
      </c>
      <c r="D240" s="18">
        <v>8.0</v>
      </c>
      <c r="E240" s="14" t="s">
        <v>78</v>
      </c>
    </row>
    <row r="241" ht="22.5" customHeight="1">
      <c r="A241" s="12">
        <v>46063.0</v>
      </c>
      <c r="B241" s="14" t="s">
        <v>18</v>
      </c>
      <c r="C241" s="14" t="s">
        <v>194</v>
      </c>
      <c r="D241" s="18">
        <v>17.0</v>
      </c>
      <c r="E241" s="14"/>
    </row>
    <row r="242" ht="22.5" customHeight="1">
      <c r="A242" s="12">
        <v>45767.0</v>
      </c>
      <c r="B242" s="14" t="s">
        <v>18</v>
      </c>
      <c r="C242" s="14" t="s">
        <v>195</v>
      </c>
      <c r="D242" s="18">
        <v>500.0</v>
      </c>
      <c r="E242" s="14" t="s">
        <v>19</v>
      </c>
    </row>
    <row r="243" ht="22.5" customHeight="1">
      <c r="A243" s="12">
        <v>45767.0</v>
      </c>
      <c r="B243" s="14" t="s">
        <v>15</v>
      </c>
      <c r="C243" s="14" t="s">
        <v>195</v>
      </c>
      <c r="D243" s="18">
        <v>318.0</v>
      </c>
      <c r="E243" s="14" t="s">
        <v>19</v>
      </c>
    </row>
    <row r="244" ht="22.5" customHeight="1">
      <c r="A244" s="12">
        <v>45958.0</v>
      </c>
      <c r="B244" s="14" t="s">
        <v>15</v>
      </c>
      <c r="C244" s="14" t="s">
        <v>195</v>
      </c>
      <c r="D244" s="18">
        <v>182.0</v>
      </c>
      <c r="E244" s="14" t="s">
        <v>19</v>
      </c>
    </row>
    <row r="245" ht="22.5" customHeight="1">
      <c r="A245" s="12">
        <v>46057.0</v>
      </c>
      <c r="B245" s="14" t="s">
        <v>18</v>
      </c>
      <c r="C245" s="14" t="s">
        <v>196</v>
      </c>
      <c r="D245" s="18">
        <v>1.0</v>
      </c>
      <c r="E245" s="42"/>
    </row>
    <row r="246" ht="22.5" customHeight="1">
      <c r="A246" s="12">
        <v>46020.0</v>
      </c>
      <c r="B246" s="14" t="s">
        <v>18</v>
      </c>
      <c r="C246" s="14" t="s">
        <v>197</v>
      </c>
      <c r="D246" s="18">
        <v>1.0</v>
      </c>
      <c r="E246" s="14" t="s">
        <v>328</v>
      </c>
    </row>
    <row r="247" ht="22.5" customHeight="1">
      <c r="A247" s="12">
        <v>46009.0</v>
      </c>
      <c r="B247" s="14" t="s">
        <v>18</v>
      </c>
      <c r="C247" s="14" t="s">
        <v>198</v>
      </c>
      <c r="D247" s="18">
        <v>1.0</v>
      </c>
      <c r="E247" s="14" t="s">
        <v>251</v>
      </c>
    </row>
    <row r="248" ht="22.5" customHeight="1">
      <c r="A248" s="12">
        <v>46062.0</v>
      </c>
      <c r="B248" s="14" t="s">
        <v>18</v>
      </c>
      <c r="C248" s="14" t="s">
        <v>199</v>
      </c>
      <c r="D248" s="18">
        <v>7.0</v>
      </c>
      <c r="E248" s="14" t="s">
        <v>19</v>
      </c>
    </row>
    <row r="249" ht="22.5" customHeight="1">
      <c r="A249" s="12">
        <v>46057.0</v>
      </c>
      <c r="B249" s="14" t="s">
        <v>18</v>
      </c>
      <c r="C249" s="14" t="s">
        <v>200</v>
      </c>
      <c r="D249" s="18">
        <v>29.0</v>
      </c>
      <c r="E249" s="14" t="s">
        <v>78</v>
      </c>
    </row>
    <row r="250" ht="22.5" customHeight="1">
      <c r="A250" s="12">
        <v>45889.0</v>
      </c>
      <c r="B250" s="14" t="s">
        <v>15</v>
      </c>
      <c r="C250" s="14" t="s">
        <v>201</v>
      </c>
      <c r="D250" s="18">
        <v>100.0</v>
      </c>
      <c r="E250" s="14" t="s">
        <v>19</v>
      </c>
    </row>
    <row r="251" ht="22.5" customHeight="1">
      <c r="A251" s="12">
        <v>45937.0</v>
      </c>
      <c r="B251" s="14" t="s">
        <v>18</v>
      </c>
      <c r="C251" s="14" t="s">
        <v>201</v>
      </c>
      <c r="D251" s="18">
        <v>320.0</v>
      </c>
      <c r="E251" s="14" t="s">
        <v>19</v>
      </c>
    </row>
    <row r="252" ht="22.5" customHeight="1">
      <c r="A252" s="12">
        <v>45937.0</v>
      </c>
      <c r="B252" s="14" t="s">
        <v>15</v>
      </c>
      <c r="C252" s="14" t="s">
        <v>201</v>
      </c>
      <c r="D252" s="18">
        <v>100.0</v>
      </c>
      <c r="E252" s="14" t="s">
        <v>19</v>
      </c>
    </row>
    <row r="253" ht="22.5" customHeight="1">
      <c r="A253" s="12">
        <v>45939.0</v>
      </c>
      <c r="B253" s="14" t="s">
        <v>15</v>
      </c>
      <c r="C253" s="14" t="s">
        <v>201</v>
      </c>
      <c r="D253" s="18">
        <v>62.0</v>
      </c>
      <c r="E253" s="14" t="s">
        <v>19</v>
      </c>
    </row>
    <row r="254" ht="22.5" customHeight="1">
      <c r="A254" s="12">
        <v>45937.0</v>
      </c>
      <c r="B254" s="14" t="s">
        <v>18</v>
      </c>
      <c r="C254" s="14" t="s">
        <v>202</v>
      </c>
      <c r="D254" s="18">
        <v>172.0</v>
      </c>
      <c r="E254" s="14" t="s">
        <v>19</v>
      </c>
    </row>
    <row r="255" ht="22.5" customHeight="1">
      <c r="A255" s="12">
        <v>45937.0</v>
      </c>
      <c r="B255" s="14" t="s">
        <v>18</v>
      </c>
      <c r="C255" s="14" t="s">
        <v>203</v>
      </c>
      <c r="D255" s="18">
        <v>4329.0</v>
      </c>
      <c r="E255" s="14" t="s">
        <v>19</v>
      </c>
    </row>
    <row r="256" ht="22.5" customHeight="1">
      <c r="A256" s="54">
        <v>45806.0</v>
      </c>
      <c r="B256" s="55" t="s">
        <v>18</v>
      </c>
      <c r="C256" s="55" t="s">
        <v>204</v>
      </c>
      <c r="D256" s="56">
        <v>29.0</v>
      </c>
      <c r="E256" s="14" t="s">
        <v>19</v>
      </c>
    </row>
    <row r="257" ht="22.5" customHeight="1">
      <c r="A257" s="83">
        <v>45806.0</v>
      </c>
      <c r="B257" s="29" t="s">
        <v>18</v>
      </c>
      <c r="C257" s="29" t="s">
        <v>205</v>
      </c>
      <c r="D257" s="30">
        <v>116.0</v>
      </c>
      <c r="E257" s="14" t="s">
        <v>19</v>
      </c>
    </row>
    <row r="258" ht="22.5" customHeight="1">
      <c r="A258" s="12">
        <v>46106.0</v>
      </c>
      <c r="B258" s="14" t="s">
        <v>18</v>
      </c>
      <c r="C258" s="14" t="s">
        <v>206</v>
      </c>
      <c r="D258" s="18">
        <v>100.0</v>
      </c>
      <c r="E258" s="14" t="s">
        <v>19</v>
      </c>
    </row>
    <row r="259" ht="22.5" customHeight="1">
      <c r="A259" s="83">
        <v>45806.0</v>
      </c>
      <c r="B259" s="29" t="s">
        <v>18</v>
      </c>
      <c r="C259" s="29" t="s">
        <v>207</v>
      </c>
      <c r="D259" s="84">
        <v>189.0</v>
      </c>
      <c r="E259" s="14" t="s">
        <v>19</v>
      </c>
    </row>
    <row r="260" ht="22.5" customHeight="1">
      <c r="A260" s="12">
        <v>46106.0</v>
      </c>
      <c r="B260" s="14" t="s">
        <v>18</v>
      </c>
      <c r="C260" s="14" t="s">
        <v>207</v>
      </c>
      <c r="D260" s="18">
        <v>300.0</v>
      </c>
      <c r="E260" s="14" t="s">
        <v>19</v>
      </c>
    </row>
    <row r="261" ht="22.5" customHeight="1">
      <c r="A261" s="83">
        <v>45806.0</v>
      </c>
      <c r="B261" s="29" t="s">
        <v>18</v>
      </c>
      <c r="C261" s="29" t="s">
        <v>208</v>
      </c>
      <c r="D261" s="84">
        <v>169.0</v>
      </c>
      <c r="E261" s="14" t="s">
        <v>19</v>
      </c>
    </row>
    <row r="262" ht="22.5" customHeight="1">
      <c r="A262" s="12">
        <v>46106.0</v>
      </c>
      <c r="B262" s="14" t="s">
        <v>18</v>
      </c>
      <c r="C262" s="14" t="s">
        <v>208</v>
      </c>
      <c r="D262" s="18">
        <v>300.0</v>
      </c>
      <c r="E262" s="14" t="s">
        <v>19</v>
      </c>
    </row>
    <row r="263" ht="22.5" customHeight="1">
      <c r="A263" s="12">
        <v>46106.0</v>
      </c>
      <c r="B263" s="14" t="s">
        <v>18</v>
      </c>
      <c r="C263" s="14" t="s">
        <v>209</v>
      </c>
      <c r="D263" s="18">
        <v>100.0</v>
      </c>
      <c r="E263" s="14" t="s">
        <v>19</v>
      </c>
    </row>
    <row r="264" ht="22.5" customHeight="1">
      <c r="A264" s="12">
        <v>45889.0</v>
      </c>
      <c r="B264" s="14" t="s">
        <v>15</v>
      </c>
      <c r="C264" s="14" t="s">
        <v>210</v>
      </c>
      <c r="D264" s="18">
        <v>1.0</v>
      </c>
      <c r="E264" s="14" t="s">
        <v>19</v>
      </c>
    </row>
    <row r="265" ht="22.5" customHeight="1">
      <c r="A265" s="12">
        <v>46008.0</v>
      </c>
      <c r="B265" s="14" t="s">
        <v>18</v>
      </c>
      <c r="C265" s="14" t="s">
        <v>211</v>
      </c>
      <c r="D265" s="18">
        <v>1.0</v>
      </c>
      <c r="E265" s="14" t="s">
        <v>19</v>
      </c>
    </row>
    <row r="266" ht="22.5" customHeight="1">
      <c r="A266" s="12">
        <v>46009.0</v>
      </c>
      <c r="B266" s="14" t="s">
        <v>18</v>
      </c>
      <c r="C266" s="14" t="s">
        <v>212</v>
      </c>
      <c r="D266" s="18">
        <v>1.0</v>
      </c>
      <c r="E266" s="14" t="s">
        <v>251</v>
      </c>
    </row>
    <row r="267" ht="22.5" customHeight="1">
      <c r="A267" s="12">
        <v>46009.0</v>
      </c>
      <c r="B267" s="14" t="s">
        <v>18</v>
      </c>
      <c r="C267" s="14" t="s">
        <v>213</v>
      </c>
      <c r="D267" s="18">
        <v>1.0</v>
      </c>
      <c r="E267" s="14" t="s">
        <v>78</v>
      </c>
    </row>
    <row r="268" ht="22.5" customHeight="1">
      <c r="A268" s="12">
        <v>46009.0</v>
      </c>
      <c r="B268" s="14" t="s">
        <v>18</v>
      </c>
      <c r="C268" s="14" t="s">
        <v>214</v>
      </c>
      <c r="D268" s="18">
        <v>2.0</v>
      </c>
      <c r="E268" s="14" t="s">
        <v>78</v>
      </c>
    </row>
    <row r="269" ht="22.5" customHeight="1">
      <c r="A269" s="12">
        <v>45968.0</v>
      </c>
      <c r="B269" s="14" t="s">
        <v>18</v>
      </c>
      <c r="C269" s="14" t="s">
        <v>215</v>
      </c>
      <c r="D269" s="18">
        <v>65.0</v>
      </c>
      <c r="E269" s="14" t="s">
        <v>19</v>
      </c>
    </row>
    <row r="270" ht="22.5" customHeight="1">
      <c r="A270" s="12">
        <v>46006.0</v>
      </c>
      <c r="B270" s="14" t="s">
        <v>15</v>
      </c>
      <c r="C270" s="14" t="s">
        <v>215</v>
      </c>
      <c r="D270" s="18">
        <v>26.0</v>
      </c>
      <c r="E270" s="14" t="s">
        <v>19</v>
      </c>
    </row>
    <row r="271" ht="22.5" customHeight="1">
      <c r="A271" s="12">
        <v>45969.0</v>
      </c>
      <c r="B271" s="14" t="s">
        <v>15</v>
      </c>
      <c r="C271" s="14" t="s">
        <v>215</v>
      </c>
      <c r="D271" s="18">
        <v>19.0</v>
      </c>
      <c r="E271" s="14" t="s">
        <v>19</v>
      </c>
    </row>
    <row r="272" ht="22.5" customHeight="1">
      <c r="A272" s="12">
        <v>46049.0</v>
      </c>
      <c r="B272" s="14" t="s">
        <v>15</v>
      </c>
      <c r="C272" s="14" t="s">
        <v>215</v>
      </c>
      <c r="D272" s="18">
        <v>20.0</v>
      </c>
      <c r="E272" s="14" t="s">
        <v>19</v>
      </c>
    </row>
    <row r="273" ht="22.5" customHeight="1">
      <c r="A273" s="12">
        <v>46055.0</v>
      </c>
      <c r="B273" s="14" t="s">
        <v>18</v>
      </c>
      <c r="C273" s="14" t="s">
        <v>215</v>
      </c>
      <c r="D273" s="18">
        <v>17.0</v>
      </c>
      <c r="E273" s="14" t="s">
        <v>19</v>
      </c>
    </row>
    <row r="274" ht="22.5" customHeight="1">
      <c r="A274" s="12">
        <v>45940.0</v>
      </c>
      <c r="B274" s="14" t="s">
        <v>18</v>
      </c>
      <c r="C274" s="14" t="s">
        <v>216</v>
      </c>
      <c r="D274" s="18">
        <v>50.0</v>
      </c>
      <c r="E274" s="14" t="s">
        <v>19</v>
      </c>
    </row>
    <row r="275" ht="22.5" customHeight="1">
      <c r="A275" s="12">
        <v>45988.0</v>
      </c>
      <c r="B275" s="14" t="s">
        <v>15</v>
      </c>
      <c r="C275" s="14" t="s">
        <v>216</v>
      </c>
      <c r="D275" s="18">
        <v>4.0</v>
      </c>
      <c r="E275" s="14" t="s">
        <v>19</v>
      </c>
    </row>
    <row r="276" ht="22.5" customHeight="1">
      <c r="A276" s="12">
        <v>46049.0</v>
      </c>
      <c r="B276" s="14" t="s">
        <v>15</v>
      </c>
      <c r="C276" s="14" t="s">
        <v>216</v>
      </c>
      <c r="D276" s="18">
        <v>46.0</v>
      </c>
      <c r="E276" s="14" t="s">
        <v>19</v>
      </c>
    </row>
    <row r="277" ht="22.5" customHeight="1">
      <c r="A277" s="12">
        <v>46055.0</v>
      </c>
      <c r="B277" s="14" t="s">
        <v>18</v>
      </c>
      <c r="C277" s="14" t="s">
        <v>216</v>
      </c>
      <c r="D277" s="18">
        <v>14.0</v>
      </c>
      <c r="E277" s="14" t="s">
        <v>19</v>
      </c>
    </row>
    <row r="278" ht="22.5" customHeight="1">
      <c r="A278" s="12">
        <v>46079.0</v>
      </c>
      <c r="B278" s="14" t="s">
        <v>15</v>
      </c>
      <c r="C278" s="14" t="s">
        <v>216</v>
      </c>
      <c r="D278" s="18">
        <v>7.0</v>
      </c>
      <c r="E278" s="14" t="s">
        <v>19</v>
      </c>
    </row>
    <row r="279" ht="22.5" customHeight="1">
      <c r="A279" s="12">
        <v>46059.0</v>
      </c>
      <c r="B279" s="14" t="s">
        <v>18</v>
      </c>
      <c r="C279" s="14" t="s">
        <v>217</v>
      </c>
      <c r="D279" s="18">
        <v>2.0</v>
      </c>
      <c r="E279" s="42"/>
    </row>
    <row r="280" ht="22.5" customHeight="1">
      <c r="A280" s="12">
        <v>46059.0</v>
      </c>
      <c r="B280" s="14" t="s">
        <v>18</v>
      </c>
      <c r="C280" s="14" t="s">
        <v>218</v>
      </c>
      <c r="D280" s="18">
        <v>1.0</v>
      </c>
      <c r="E280" s="42"/>
    </row>
    <row r="281" ht="22.5" customHeight="1">
      <c r="A281" s="12">
        <v>46059.0</v>
      </c>
      <c r="B281" s="14" t="s">
        <v>18</v>
      </c>
      <c r="C281" s="14" t="s">
        <v>219</v>
      </c>
      <c r="D281" s="18">
        <v>4.0</v>
      </c>
      <c r="E281" s="42"/>
    </row>
    <row r="282" ht="22.5" customHeight="1">
      <c r="A282" s="12">
        <v>45938.0</v>
      </c>
      <c r="B282" s="14" t="s">
        <v>18</v>
      </c>
      <c r="C282" s="14" t="s">
        <v>220</v>
      </c>
      <c r="D282" s="18">
        <v>19.0</v>
      </c>
      <c r="E282" s="14" t="s">
        <v>19</v>
      </c>
    </row>
    <row r="283" ht="22.5" customHeight="1">
      <c r="A283" s="12">
        <v>45938.0</v>
      </c>
      <c r="B283" s="14" t="s">
        <v>15</v>
      </c>
      <c r="C283" s="14" t="s">
        <v>220</v>
      </c>
      <c r="D283" s="18">
        <v>13.0</v>
      </c>
      <c r="E283" s="14" t="s">
        <v>19</v>
      </c>
    </row>
    <row r="284" ht="22.5" customHeight="1">
      <c r="A284" s="12">
        <v>45987.0</v>
      </c>
      <c r="B284" s="14" t="s">
        <v>15</v>
      </c>
      <c r="C284" s="14" t="s">
        <v>220</v>
      </c>
      <c r="D284" s="18">
        <v>6.0</v>
      </c>
      <c r="E284" s="14" t="s">
        <v>19</v>
      </c>
    </row>
    <row r="285" ht="22.5" customHeight="1">
      <c r="A285" s="12">
        <v>45884.0</v>
      </c>
      <c r="B285" s="14" t="s">
        <v>15</v>
      </c>
      <c r="C285" s="14" t="s">
        <v>221</v>
      </c>
      <c r="D285" s="18">
        <v>12.0</v>
      </c>
      <c r="E285" s="14" t="s">
        <v>19</v>
      </c>
    </row>
    <row r="286" ht="22.5" customHeight="1">
      <c r="A286" s="12">
        <v>46009.0</v>
      </c>
      <c r="B286" s="14" t="s">
        <v>18</v>
      </c>
      <c r="C286" s="14" t="s">
        <v>222</v>
      </c>
      <c r="D286" s="18">
        <v>5.0</v>
      </c>
      <c r="E286" s="14" t="s">
        <v>19</v>
      </c>
    </row>
    <row r="287" ht="22.5" customHeight="1">
      <c r="A287" s="12">
        <v>45889.0</v>
      </c>
      <c r="B287" s="14" t="s">
        <v>15</v>
      </c>
      <c r="C287" s="14" t="s">
        <v>223</v>
      </c>
      <c r="D287" s="18">
        <v>2.0</v>
      </c>
      <c r="E287" s="14" t="s">
        <v>19</v>
      </c>
    </row>
    <row r="288" ht="22.5" customHeight="1">
      <c r="A288" s="12">
        <v>46009.0</v>
      </c>
      <c r="B288" s="14" t="s">
        <v>18</v>
      </c>
      <c r="C288" s="14" t="s">
        <v>224</v>
      </c>
      <c r="D288" s="18">
        <v>1.0</v>
      </c>
      <c r="E288" s="14" t="s">
        <v>19</v>
      </c>
    </row>
    <row r="289" ht="22.5" customHeight="1">
      <c r="A289" s="12">
        <v>45952.0</v>
      </c>
      <c r="B289" s="14" t="s">
        <v>18</v>
      </c>
      <c r="C289" s="14" t="s">
        <v>225</v>
      </c>
      <c r="D289" s="18">
        <v>23.0</v>
      </c>
      <c r="E289" s="14" t="s">
        <v>19</v>
      </c>
    </row>
    <row r="290" ht="22.5" customHeight="1">
      <c r="A290" s="12">
        <v>45952.0</v>
      </c>
      <c r="B290" s="14" t="s">
        <v>18</v>
      </c>
      <c r="C290" s="14" t="s">
        <v>226</v>
      </c>
      <c r="D290" s="18">
        <v>30.0</v>
      </c>
      <c r="E290" s="14" t="s">
        <v>19</v>
      </c>
    </row>
    <row r="291" ht="22.5" customHeight="1">
      <c r="A291" s="12">
        <v>45952.0</v>
      </c>
      <c r="B291" s="14" t="s">
        <v>18</v>
      </c>
      <c r="C291" s="14" t="s">
        <v>227</v>
      </c>
      <c r="D291" s="18">
        <v>2.0</v>
      </c>
      <c r="E291" s="14" t="s">
        <v>19</v>
      </c>
    </row>
    <row r="292" ht="22.5" customHeight="1">
      <c r="A292" s="12">
        <v>46059.0</v>
      </c>
      <c r="B292" s="14" t="s">
        <v>18</v>
      </c>
      <c r="C292" s="14" t="s">
        <v>228</v>
      </c>
      <c r="D292" s="18">
        <v>18.0</v>
      </c>
      <c r="E292" s="14" t="s">
        <v>19</v>
      </c>
    </row>
    <row r="293" ht="22.5" customHeight="1">
      <c r="A293" s="12">
        <v>46009.0</v>
      </c>
      <c r="B293" s="14" t="s">
        <v>18</v>
      </c>
      <c r="C293" s="14" t="s">
        <v>229</v>
      </c>
      <c r="D293" s="18">
        <v>2.0</v>
      </c>
      <c r="E293" s="14" t="s">
        <v>19</v>
      </c>
    </row>
    <row r="294" ht="22.5" customHeight="1">
      <c r="A294" s="12">
        <v>46058.0</v>
      </c>
      <c r="B294" s="14" t="s">
        <v>18</v>
      </c>
      <c r="C294" s="14" t="s">
        <v>230</v>
      </c>
      <c r="D294" s="18">
        <v>8.0</v>
      </c>
      <c r="E294" s="14" t="s">
        <v>19</v>
      </c>
    </row>
    <row r="295" ht="22.5" customHeight="1">
      <c r="A295" s="12">
        <v>46059.0</v>
      </c>
      <c r="B295" s="14" t="s">
        <v>18</v>
      </c>
      <c r="C295" s="14" t="s">
        <v>231</v>
      </c>
      <c r="D295" s="18">
        <v>12.0</v>
      </c>
      <c r="E295" s="14" t="s">
        <v>19</v>
      </c>
    </row>
    <row r="296" ht="22.5" customHeight="1">
      <c r="A296" s="12">
        <v>46094.0</v>
      </c>
      <c r="B296" s="14" t="s">
        <v>15</v>
      </c>
      <c r="C296" s="14" t="s">
        <v>111</v>
      </c>
      <c r="D296" s="18">
        <v>1502.0</v>
      </c>
      <c r="E296" s="14"/>
    </row>
    <row r="297" ht="22.5" customHeight="1">
      <c r="A297" s="12">
        <v>46094.0</v>
      </c>
      <c r="B297" s="14" t="s">
        <v>15</v>
      </c>
      <c r="C297" s="14" t="s">
        <v>115</v>
      </c>
      <c r="D297" s="18">
        <v>97.0</v>
      </c>
      <c r="E297" s="14"/>
    </row>
    <row r="298" ht="22.5" customHeight="1">
      <c r="A298" s="12">
        <v>46094.0</v>
      </c>
      <c r="B298" s="14" t="s">
        <v>15</v>
      </c>
      <c r="C298" s="14" t="s">
        <v>113</v>
      </c>
      <c r="D298" s="18">
        <v>172.0</v>
      </c>
      <c r="E298" s="14"/>
    </row>
    <row r="299" ht="22.5" customHeight="1">
      <c r="A299" s="12">
        <v>46094.0</v>
      </c>
      <c r="B299" s="14" t="s">
        <v>15</v>
      </c>
      <c r="C299" s="14" t="s">
        <v>72</v>
      </c>
      <c r="D299" s="18">
        <v>31.0</v>
      </c>
      <c r="E299" s="14"/>
    </row>
    <row r="300" ht="22.5" customHeight="1">
      <c r="A300" s="12">
        <v>46094.0</v>
      </c>
      <c r="B300" s="14" t="s">
        <v>15</v>
      </c>
      <c r="C300" s="14" t="s">
        <v>94</v>
      </c>
      <c r="D300" s="18">
        <v>65.0</v>
      </c>
      <c r="E300" s="14"/>
    </row>
    <row r="301" ht="22.5" customHeight="1">
      <c r="A301" s="12">
        <v>46094.0</v>
      </c>
      <c r="B301" s="14" t="s">
        <v>15</v>
      </c>
      <c r="C301" s="14" t="s">
        <v>54</v>
      </c>
      <c r="D301" s="18">
        <v>31.0</v>
      </c>
      <c r="E301" s="14"/>
    </row>
    <row r="302" ht="22.5" customHeight="1">
      <c r="A302" s="12">
        <v>46097.0</v>
      </c>
      <c r="B302" s="14" t="s">
        <v>18</v>
      </c>
      <c r="C302" s="14" t="s">
        <v>134</v>
      </c>
      <c r="D302" s="18">
        <v>278.0</v>
      </c>
      <c r="E302" s="14"/>
    </row>
    <row r="303" ht="22.5" customHeight="1">
      <c r="A303" s="12">
        <v>46097.0</v>
      </c>
      <c r="B303" s="14" t="s">
        <v>18</v>
      </c>
      <c r="C303" s="14" t="s">
        <v>132</v>
      </c>
      <c r="D303" s="18">
        <v>279.0</v>
      </c>
      <c r="E303" s="14"/>
    </row>
    <row r="304" ht="22.5" customHeight="1">
      <c r="A304" s="12">
        <v>46097.0</v>
      </c>
      <c r="B304" s="14" t="s">
        <v>18</v>
      </c>
      <c r="C304" s="14" t="s">
        <v>195</v>
      </c>
      <c r="D304" s="18">
        <v>500.0</v>
      </c>
      <c r="E304" s="14"/>
    </row>
    <row r="305" ht="22.5" customHeight="1">
      <c r="A305" s="12">
        <v>46107.0</v>
      </c>
      <c r="B305" s="14" t="s">
        <v>15</v>
      </c>
      <c r="C305" s="14" t="s">
        <v>101</v>
      </c>
      <c r="D305" s="18">
        <v>4.0</v>
      </c>
      <c r="E305" s="14"/>
    </row>
    <row r="306" ht="22.5" customHeight="1">
      <c r="A306" s="12">
        <v>46107.0</v>
      </c>
      <c r="B306" s="14" t="s">
        <v>15</v>
      </c>
      <c r="C306" s="14" t="s">
        <v>99</v>
      </c>
      <c r="D306" s="18">
        <v>3.0</v>
      </c>
      <c r="E306" s="14"/>
    </row>
    <row r="307" ht="22.5" customHeight="1">
      <c r="A307" s="12">
        <v>46107.0</v>
      </c>
      <c r="B307" s="14" t="s">
        <v>15</v>
      </c>
      <c r="C307" s="14" t="s">
        <v>97</v>
      </c>
      <c r="D307" s="18">
        <v>3.0</v>
      </c>
      <c r="E307" s="14"/>
    </row>
    <row r="308" ht="22.5" customHeight="1">
      <c r="A308" s="12">
        <v>46107.0</v>
      </c>
      <c r="B308" s="14" t="s">
        <v>15</v>
      </c>
      <c r="C308" s="14" t="s">
        <v>102</v>
      </c>
      <c r="D308" s="18">
        <v>2.0</v>
      </c>
      <c r="E308" s="14"/>
    </row>
    <row r="309" ht="22.5" customHeight="1">
      <c r="A309" s="12">
        <v>46107.0</v>
      </c>
      <c r="B309" s="14" t="s">
        <v>15</v>
      </c>
      <c r="C309" s="55" t="s">
        <v>87</v>
      </c>
      <c r="D309" s="18">
        <v>11.0</v>
      </c>
      <c r="E309" s="14"/>
    </row>
    <row r="310" ht="22.5" customHeight="1">
      <c r="A310" s="12">
        <v>46106.0</v>
      </c>
      <c r="B310" s="14" t="s">
        <v>18</v>
      </c>
      <c r="C310" s="14" t="s">
        <v>146</v>
      </c>
      <c r="D310" s="18">
        <v>163.0</v>
      </c>
      <c r="E310" s="14"/>
    </row>
    <row r="311" ht="22.5" customHeight="1">
      <c r="A311" s="12">
        <v>46108.0</v>
      </c>
      <c r="B311" s="14" t="s">
        <v>15</v>
      </c>
      <c r="C311" s="14" t="s">
        <v>146</v>
      </c>
      <c r="D311" s="18">
        <v>269.0</v>
      </c>
      <c r="E311" s="14"/>
    </row>
    <row r="312" ht="22.5" customHeight="1">
      <c r="A312" s="12">
        <v>46112.0</v>
      </c>
      <c r="B312" s="14" t="s">
        <v>18</v>
      </c>
      <c r="C312" s="14" t="s">
        <v>232</v>
      </c>
      <c r="D312" s="18">
        <v>20.0</v>
      </c>
      <c r="E312" s="14"/>
    </row>
    <row r="313" ht="22.5" customHeight="1">
      <c r="A313" s="12">
        <v>46112.0</v>
      </c>
      <c r="B313" s="14" t="s">
        <v>18</v>
      </c>
      <c r="C313" s="14" t="s">
        <v>140</v>
      </c>
      <c r="D313" s="18">
        <v>10.0</v>
      </c>
      <c r="E313" s="14"/>
    </row>
    <row r="314" ht="22.5" customHeight="1">
      <c r="A314" s="12">
        <v>46112.0</v>
      </c>
      <c r="B314" s="14" t="s">
        <v>18</v>
      </c>
      <c r="C314" s="14" t="s">
        <v>101</v>
      </c>
      <c r="D314" s="18">
        <v>3.0</v>
      </c>
      <c r="E314" s="14"/>
    </row>
    <row r="315" ht="22.5" customHeight="1">
      <c r="A315" s="12">
        <v>46112.0</v>
      </c>
      <c r="B315" s="14" t="s">
        <v>18</v>
      </c>
      <c r="C315" s="14" t="s">
        <v>99</v>
      </c>
      <c r="D315" s="18">
        <v>3.0</v>
      </c>
      <c r="E315" s="14"/>
    </row>
    <row r="316" ht="22.5" customHeight="1">
      <c r="A316" s="12">
        <v>46112.0</v>
      </c>
      <c r="B316" s="14" t="s">
        <v>18</v>
      </c>
      <c r="C316" s="14" t="s">
        <v>97</v>
      </c>
      <c r="D316" s="18">
        <v>3.0</v>
      </c>
      <c r="E316" s="14"/>
    </row>
    <row r="317" ht="22.5" customHeight="1">
      <c r="A317" s="12">
        <v>46112.0</v>
      </c>
      <c r="B317" s="14" t="s">
        <v>18</v>
      </c>
      <c r="C317" s="14" t="s">
        <v>102</v>
      </c>
      <c r="D317" s="18">
        <v>3.0</v>
      </c>
      <c r="E317" s="14"/>
    </row>
    <row r="318" ht="22.5" customHeight="1">
      <c r="A318" s="12">
        <v>46112.0</v>
      </c>
      <c r="B318" s="14" t="s">
        <v>18</v>
      </c>
      <c r="C318" s="14" t="s">
        <v>159</v>
      </c>
      <c r="D318" s="18">
        <v>4.0</v>
      </c>
      <c r="E318" s="14"/>
    </row>
    <row r="319" ht="22.5" customHeight="1">
      <c r="A319" s="12">
        <v>46112.0</v>
      </c>
      <c r="B319" s="14" t="s">
        <v>18</v>
      </c>
      <c r="C319" s="14" t="s">
        <v>233</v>
      </c>
      <c r="D319" s="18">
        <v>3.0</v>
      </c>
      <c r="E319" s="14"/>
    </row>
    <row r="320" ht="22.5" customHeight="1">
      <c r="A320" s="12">
        <v>46112.0</v>
      </c>
      <c r="B320" s="14" t="s">
        <v>18</v>
      </c>
      <c r="C320" s="14" t="s">
        <v>234</v>
      </c>
      <c r="D320" s="18">
        <v>5.0</v>
      </c>
      <c r="E320" s="14"/>
    </row>
    <row r="321" ht="22.5" customHeight="1">
      <c r="A321" s="12">
        <v>46112.0</v>
      </c>
      <c r="B321" s="14" t="s">
        <v>18</v>
      </c>
      <c r="C321" s="14" t="s">
        <v>171</v>
      </c>
      <c r="D321" s="18">
        <v>2.0</v>
      </c>
      <c r="E321" s="14"/>
    </row>
    <row r="322" ht="22.5" customHeight="1">
      <c r="A322" s="12">
        <v>46112.0</v>
      </c>
      <c r="B322" s="14" t="s">
        <v>18</v>
      </c>
      <c r="C322" s="14" t="s">
        <v>177</v>
      </c>
      <c r="D322" s="18">
        <v>20.0</v>
      </c>
      <c r="E322" s="14"/>
    </row>
    <row r="323" ht="22.5" customHeight="1">
      <c r="A323" s="12">
        <v>46112.0</v>
      </c>
      <c r="B323" s="14" t="s">
        <v>18</v>
      </c>
      <c r="C323" s="14" t="s">
        <v>168</v>
      </c>
      <c r="D323" s="18">
        <v>20.0</v>
      </c>
      <c r="E323" s="14"/>
    </row>
    <row r="324" ht="22.5" customHeight="1">
      <c r="A324" s="12">
        <v>46112.0</v>
      </c>
      <c r="B324" s="14" t="s">
        <v>18</v>
      </c>
      <c r="C324" s="14" t="s">
        <v>190</v>
      </c>
      <c r="D324" s="18">
        <v>10.0</v>
      </c>
      <c r="E324" s="14"/>
    </row>
    <row r="325" ht="22.5" customHeight="1">
      <c r="A325" s="12">
        <v>46098.0</v>
      </c>
      <c r="B325" s="14" t="s">
        <v>18</v>
      </c>
      <c r="C325" s="14" t="s">
        <v>42</v>
      </c>
      <c r="D325" s="18">
        <v>200.0</v>
      </c>
      <c r="E325" s="14"/>
    </row>
    <row r="326" ht="22.5" customHeight="1">
      <c r="A326" s="12">
        <v>46098.0</v>
      </c>
      <c r="B326" s="14" t="s">
        <v>18</v>
      </c>
      <c r="C326" s="14" t="s">
        <v>46</v>
      </c>
      <c r="D326" s="18">
        <v>300.0</v>
      </c>
      <c r="E326" s="14"/>
    </row>
    <row r="327" ht="22.5" customHeight="1">
      <c r="A327" s="12">
        <v>46108.0</v>
      </c>
      <c r="B327" s="14" t="s">
        <v>15</v>
      </c>
      <c r="C327" s="14" t="s">
        <v>46</v>
      </c>
      <c r="D327" s="18">
        <v>270.0</v>
      </c>
      <c r="E327" s="14"/>
    </row>
    <row r="328" ht="22.5" customHeight="1">
      <c r="A328" s="12">
        <v>46108.0</v>
      </c>
      <c r="B328" s="14" t="s">
        <v>15</v>
      </c>
      <c r="C328" s="14" t="s">
        <v>42</v>
      </c>
      <c r="D328" s="18">
        <v>132.0</v>
      </c>
      <c r="E328" s="14"/>
    </row>
    <row r="329" ht="22.5" customHeight="1">
      <c r="A329" s="12">
        <v>46108.0</v>
      </c>
      <c r="B329" s="14" t="s">
        <v>15</v>
      </c>
      <c r="C329" s="14" t="s">
        <v>77</v>
      </c>
      <c r="D329" s="18">
        <v>151.0</v>
      </c>
      <c r="E329" s="14"/>
    </row>
    <row r="330" ht="22.5" customHeight="1">
      <c r="A330" s="12">
        <v>46108.0</v>
      </c>
      <c r="B330" s="14" t="s">
        <v>15</v>
      </c>
      <c r="C330" s="14" t="s">
        <v>134</v>
      </c>
      <c r="D330" s="18">
        <v>273.0</v>
      </c>
      <c r="E330" s="14"/>
    </row>
    <row r="331" ht="22.5" customHeight="1">
      <c r="A331" s="12">
        <v>46108.0</v>
      </c>
      <c r="B331" s="14" t="s">
        <v>15</v>
      </c>
      <c r="C331" s="14" t="s">
        <v>132</v>
      </c>
      <c r="D331" s="18">
        <v>140.0</v>
      </c>
      <c r="E331" s="14"/>
    </row>
    <row r="332" ht="22.5" customHeight="1">
      <c r="A332" s="12">
        <v>45968.0</v>
      </c>
      <c r="B332" s="14" t="s">
        <v>15</v>
      </c>
      <c r="C332" s="14" t="s">
        <v>193</v>
      </c>
      <c r="D332" s="18">
        <v>100.0</v>
      </c>
      <c r="E332" s="14"/>
    </row>
    <row r="333" ht="22.5" customHeight="1">
      <c r="A333" s="12">
        <v>46108.0</v>
      </c>
      <c r="B333" s="14" t="s">
        <v>15</v>
      </c>
      <c r="C333" s="14" t="s">
        <v>195</v>
      </c>
      <c r="D333" s="18">
        <v>227.0</v>
      </c>
      <c r="E333" s="14"/>
    </row>
    <row r="334" ht="22.5" customHeight="1">
      <c r="A334" s="12">
        <v>45743.0</v>
      </c>
      <c r="B334" s="14" t="s">
        <v>15</v>
      </c>
      <c r="C334" s="14" t="s">
        <v>193</v>
      </c>
      <c r="D334" s="18">
        <v>130.0</v>
      </c>
      <c r="E334" s="14"/>
    </row>
    <row r="335" ht="22.5" customHeight="1">
      <c r="A335" s="12">
        <v>45763.0</v>
      </c>
      <c r="B335" s="14" t="s">
        <v>18</v>
      </c>
      <c r="C335" s="14" t="s">
        <v>235</v>
      </c>
      <c r="D335" s="18">
        <v>16.0</v>
      </c>
      <c r="E335" s="14"/>
    </row>
    <row r="336" ht="22.5" customHeight="1">
      <c r="A336" s="12">
        <v>45763.0</v>
      </c>
      <c r="B336" s="14" t="s">
        <v>18</v>
      </c>
      <c r="C336" s="14" t="s">
        <v>236</v>
      </c>
      <c r="D336" s="18">
        <v>18.0</v>
      </c>
      <c r="E336" s="14"/>
    </row>
    <row r="337" ht="22.5" customHeight="1">
      <c r="A337" s="12">
        <v>45763.0</v>
      </c>
      <c r="B337" s="14" t="s">
        <v>18</v>
      </c>
      <c r="C337" s="14" t="s">
        <v>237</v>
      </c>
      <c r="D337" s="18">
        <v>16.0</v>
      </c>
      <c r="E337" s="14"/>
    </row>
    <row r="338" ht="22.5" customHeight="1">
      <c r="A338" s="12">
        <v>46120.0</v>
      </c>
      <c r="B338" s="14" t="s">
        <v>15</v>
      </c>
      <c r="C338" s="14" t="s">
        <v>235</v>
      </c>
      <c r="D338" s="18">
        <v>5.0</v>
      </c>
      <c r="E338" s="14"/>
    </row>
    <row r="339" ht="22.5" customHeight="1">
      <c r="A339" s="12">
        <v>46120.0</v>
      </c>
      <c r="B339" s="14" t="s">
        <v>15</v>
      </c>
      <c r="C339" s="14" t="s">
        <v>236</v>
      </c>
      <c r="D339" s="18">
        <v>6.0</v>
      </c>
      <c r="E339" s="14"/>
    </row>
    <row r="340" ht="22.5" customHeight="1">
      <c r="A340" s="12">
        <v>46120.0</v>
      </c>
      <c r="B340" s="14" t="s">
        <v>15</v>
      </c>
      <c r="C340" s="14" t="s">
        <v>237</v>
      </c>
      <c r="D340" s="18">
        <v>4.0</v>
      </c>
      <c r="E340" s="14"/>
    </row>
    <row r="341" ht="22.5" customHeight="1">
      <c r="A341" s="12">
        <v>46128.0</v>
      </c>
      <c r="B341" s="14" t="s">
        <v>18</v>
      </c>
      <c r="C341" s="14" t="s">
        <v>216</v>
      </c>
      <c r="D341" s="18">
        <v>50.0</v>
      </c>
      <c r="E341" s="14"/>
    </row>
    <row r="342" ht="22.5" customHeight="1">
      <c r="A342" s="12">
        <v>46128.0</v>
      </c>
      <c r="B342" s="14" t="s">
        <v>15</v>
      </c>
      <c r="C342" s="14" t="s">
        <v>216</v>
      </c>
      <c r="D342" s="18">
        <v>55.0</v>
      </c>
      <c r="E342" s="14"/>
    </row>
    <row r="343" ht="22.5" customHeight="1">
      <c r="A343" s="12">
        <v>46155.0</v>
      </c>
      <c r="B343" s="14" t="s">
        <v>15</v>
      </c>
      <c r="C343" s="14" t="s">
        <v>177</v>
      </c>
      <c r="D343" s="18">
        <v>18.0</v>
      </c>
      <c r="E343" s="14" t="s">
        <v>78</v>
      </c>
    </row>
    <row r="344" ht="22.5" customHeight="1">
      <c r="A344" s="12">
        <v>46155.0</v>
      </c>
      <c r="B344" s="14" t="s">
        <v>15</v>
      </c>
      <c r="C344" s="14" t="s">
        <v>167</v>
      </c>
      <c r="D344" s="18">
        <v>12.0</v>
      </c>
      <c r="E344" s="14"/>
    </row>
    <row r="345" ht="22.5" customHeight="1">
      <c r="A345" s="12">
        <v>46146.0</v>
      </c>
      <c r="B345" s="14" t="s">
        <v>18</v>
      </c>
      <c r="C345" s="14" t="s">
        <v>238</v>
      </c>
      <c r="D345" s="18">
        <v>100.0</v>
      </c>
      <c r="E345" s="14"/>
    </row>
    <row r="346" ht="22.5" customHeight="1">
      <c r="A346" s="12">
        <v>46146.0</v>
      </c>
      <c r="B346" s="14" t="s">
        <v>18</v>
      </c>
      <c r="C346" s="14" t="s">
        <v>240</v>
      </c>
      <c r="D346" s="18">
        <v>100.0</v>
      </c>
      <c r="E346" s="14"/>
    </row>
    <row r="347" ht="22.5" customHeight="1">
      <c r="A347" s="12">
        <v>46147.0</v>
      </c>
      <c r="B347" s="14" t="s">
        <v>18</v>
      </c>
      <c r="C347" s="14" t="s">
        <v>241</v>
      </c>
      <c r="D347" s="18">
        <v>100.0</v>
      </c>
      <c r="E347" s="14"/>
    </row>
    <row r="348" ht="22.5" customHeight="1">
      <c r="A348" s="12">
        <v>46147.0</v>
      </c>
      <c r="B348" s="14" t="s">
        <v>18</v>
      </c>
      <c r="C348" s="14" t="s">
        <v>242</v>
      </c>
      <c r="D348" s="18">
        <v>24.0</v>
      </c>
      <c r="E348" s="14"/>
    </row>
    <row r="349" ht="22.5" customHeight="1">
      <c r="A349" s="12">
        <v>46148.0</v>
      </c>
      <c r="B349" s="14" t="s">
        <v>15</v>
      </c>
      <c r="C349" s="14" t="s">
        <v>238</v>
      </c>
      <c r="D349" s="18">
        <v>88.0</v>
      </c>
      <c r="E349" s="14"/>
    </row>
    <row r="350" ht="22.5" customHeight="1">
      <c r="A350" s="12">
        <v>46148.0</v>
      </c>
      <c r="B350" s="14" t="s">
        <v>15</v>
      </c>
      <c r="C350" s="14" t="s">
        <v>240</v>
      </c>
      <c r="D350" s="18">
        <v>89.0</v>
      </c>
      <c r="E350" s="14"/>
    </row>
    <row r="351" ht="22.5" customHeight="1">
      <c r="A351" s="12">
        <v>46148.0</v>
      </c>
      <c r="B351" s="14" t="s">
        <v>15</v>
      </c>
      <c r="C351" s="14" t="s">
        <v>241</v>
      </c>
      <c r="D351" s="18">
        <v>79.0</v>
      </c>
      <c r="E351" s="14"/>
    </row>
    <row r="352" ht="22.5" customHeight="1">
      <c r="A352" s="12">
        <v>46135.0</v>
      </c>
      <c r="B352" s="14" t="s">
        <v>18</v>
      </c>
      <c r="C352" s="14" t="s">
        <v>243</v>
      </c>
      <c r="D352" s="18">
        <v>30.0</v>
      </c>
      <c r="E352" s="14"/>
    </row>
    <row r="353" ht="22.5" customHeight="1">
      <c r="A353" s="12">
        <v>46148.0</v>
      </c>
      <c r="B353" s="14" t="s">
        <v>15</v>
      </c>
      <c r="C353" s="14" t="s">
        <v>243</v>
      </c>
      <c r="D353" s="18">
        <v>30.0</v>
      </c>
      <c r="E353" s="14"/>
    </row>
    <row r="354" ht="22.5" customHeight="1">
      <c r="A354" s="12">
        <v>46169.0</v>
      </c>
      <c r="B354" s="14" t="s">
        <v>18</v>
      </c>
      <c r="C354" s="14" t="s">
        <v>244</v>
      </c>
      <c r="D354" s="18">
        <v>100.0</v>
      </c>
      <c r="E354" s="14"/>
    </row>
    <row r="355" ht="22.5" customHeight="1">
      <c r="A355" s="12">
        <v>46169.0</v>
      </c>
      <c r="B355" s="14" t="s">
        <v>18</v>
      </c>
      <c r="C355" s="14" t="s">
        <v>72</v>
      </c>
      <c r="D355" s="18">
        <v>17.0</v>
      </c>
      <c r="E355" s="14"/>
    </row>
    <row r="356" ht="22.5" customHeight="1">
      <c r="A356" s="12">
        <v>46169.0</v>
      </c>
      <c r="B356" s="14" t="s">
        <v>15</v>
      </c>
      <c r="C356" s="14" t="s">
        <v>244</v>
      </c>
      <c r="D356" s="18">
        <v>17.0</v>
      </c>
      <c r="E356" s="14"/>
    </row>
    <row r="357" ht="22.5" customHeight="1">
      <c r="A357" s="12">
        <v>46169.0</v>
      </c>
      <c r="B357" s="14" t="s">
        <v>15</v>
      </c>
      <c r="C357" s="14" t="s">
        <v>72</v>
      </c>
      <c r="D357" s="18">
        <v>17.0</v>
      </c>
      <c r="E357" s="14"/>
    </row>
    <row r="358" ht="22.5" customHeight="1">
      <c r="A358" s="12">
        <v>46174.0</v>
      </c>
      <c r="B358" s="14" t="s">
        <v>18</v>
      </c>
      <c r="C358" s="14" t="s">
        <v>234</v>
      </c>
      <c r="D358" s="18">
        <v>20.0</v>
      </c>
      <c r="E358" s="14"/>
    </row>
    <row r="359" ht="22.5" customHeight="1">
      <c r="A359" s="12">
        <v>46174.0</v>
      </c>
      <c r="B359" s="14" t="s">
        <v>18</v>
      </c>
      <c r="C359" s="14" t="s">
        <v>87</v>
      </c>
      <c r="D359" s="18">
        <v>20.0</v>
      </c>
      <c r="E359" s="14"/>
    </row>
    <row r="360" ht="22.5" customHeight="1">
      <c r="A360" s="12">
        <v>46175.0</v>
      </c>
      <c r="B360" s="14" t="s">
        <v>15</v>
      </c>
      <c r="C360" s="14" t="s">
        <v>238</v>
      </c>
      <c r="D360" s="18">
        <v>5.0</v>
      </c>
      <c r="E360" s="14"/>
    </row>
    <row r="361" ht="22.5" customHeight="1">
      <c r="A361" s="12">
        <v>46175.0</v>
      </c>
      <c r="B361" s="14" t="s">
        <v>15</v>
      </c>
      <c r="C361" s="14" t="s">
        <v>242</v>
      </c>
      <c r="D361" s="18">
        <v>7.0</v>
      </c>
      <c r="E361" s="42"/>
    </row>
    <row r="362" ht="22.5" customHeight="1">
      <c r="A362" s="12">
        <v>46175.0</v>
      </c>
      <c r="B362" s="14" t="s">
        <v>15</v>
      </c>
      <c r="C362" s="14" t="s">
        <v>240</v>
      </c>
      <c r="D362" s="18">
        <v>5.0</v>
      </c>
      <c r="E362" s="14"/>
    </row>
    <row r="363" ht="22.5" customHeight="1">
      <c r="A363" s="12">
        <v>46163.0</v>
      </c>
      <c r="B363" s="14" t="s">
        <v>18</v>
      </c>
      <c r="C363" s="14" t="s">
        <v>245</v>
      </c>
      <c r="D363" s="18">
        <v>5.0</v>
      </c>
      <c r="E363" s="14"/>
    </row>
    <row r="364" ht="22.5" customHeight="1">
      <c r="A364" s="12">
        <v>46164.0</v>
      </c>
      <c r="B364" s="14" t="s">
        <v>18</v>
      </c>
      <c r="C364" s="14" t="s">
        <v>245</v>
      </c>
      <c r="D364" s="18">
        <v>6.0</v>
      </c>
      <c r="E364" s="14"/>
    </row>
    <row r="365" ht="22.5" customHeight="1">
      <c r="A365" s="12">
        <v>46164.0</v>
      </c>
      <c r="B365" s="14" t="s">
        <v>15</v>
      </c>
      <c r="C365" s="14" t="s">
        <v>245</v>
      </c>
      <c r="D365" s="18">
        <v>4.0</v>
      </c>
      <c r="E365" s="14"/>
    </row>
    <row r="366" ht="22.5" customHeight="1">
      <c r="A366" s="12">
        <v>46167.0</v>
      </c>
      <c r="B366" s="14" t="s">
        <v>15</v>
      </c>
      <c r="C366" s="14" t="s">
        <v>245</v>
      </c>
      <c r="D366" s="18">
        <v>1.0</v>
      </c>
      <c r="E366" s="14"/>
    </row>
    <row r="367" ht="22.5" customHeight="1">
      <c r="A367" s="12">
        <v>46184.0</v>
      </c>
      <c r="B367" s="14" t="s">
        <v>15</v>
      </c>
      <c r="C367" s="14" t="s">
        <v>245</v>
      </c>
      <c r="D367" s="18">
        <v>1.0</v>
      </c>
      <c r="E367" s="14"/>
    </row>
    <row r="368" ht="22.5" customHeight="1">
      <c r="A368" s="12">
        <v>46188.0</v>
      </c>
      <c r="B368" s="14" t="s">
        <v>15</v>
      </c>
      <c r="C368" s="14" t="s">
        <v>245</v>
      </c>
      <c r="D368" s="18">
        <v>1.0</v>
      </c>
      <c r="E368" s="14"/>
    </row>
    <row r="369" ht="22.5" customHeight="1">
      <c r="A369" s="12">
        <v>46199.0</v>
      </c>
      <c r="B369" s="14" t="s">
        <v>18</v>
      </c>
      <c r="C369" s="14" t="s">
        <v>246</v>
      </c>
      <c r="D369" s="18">
        <v>4.0</v>
      </c>
      <c r="E369" s="14"/>
    </row>
    <row r="370" ht="22.5" customHeight="1">
      <c r="A370" s="12">
        <v>46199.0</v>
      </c>
      <c r="B370" s="14" t="s">
        <v>15</v>
      </c>
      <c r="C370" s="14" t="s">
        <v>246</v>
      </c>
      <c r="D370" s="18">
        <v>1.0</v>
      </c>
      <c r="E370" s="14"/>
    </row>
    <row r="371" ht="22.5" customHeight="1">
      <c r="A371" s="12">
        <v>46190.0</v>
      </c>
      <c r="B371" s="14" t="s">
        <v>18</v>
      </c>
      <c r="C371" s="14" t="s">
        <v>230</v>
      </c>
      <c r="D371" s="18">
        <v>5.0</v>
      </c>
      <c r="E371" s="14"/>
    </row>
    <row r="372" ht="22.5" customHeight="1">
      <c r="A372" s="12">
        <v>46190.0</v>
      </c>
      <c r="B372" s="14" t="s">
        <v>15</v>
      </c>
      <c r="C372" s="14" t="s">
        <v>230</v>
      </c>
      <c r="D372" s="18">
        <v>10.0</v>
      </c>
      <c r="E372" s="14"/>
    </row>
    <row r="373" ht="22.5" customHeight="1">
      <c r="A373" s="12">
        <v>45889.0</v>
      </c>
      <c r="B373" s="14" t="s">
        <v>18</v>
      </c>
      <c r="C373" s="14" t="s">
        <v>223</v>
      </c>
      <c r="D373" s="18">
        <v>12.0</v>
      </c>
      <c r="E373" s="14"/>
    </row>
    <row r="374" ht="22.5" customHeight="1">
      <c r="A374" s="12">
        <v>46203.0</v>
      </c>
      <c r="B374" s="14" t="s">
        <v>15</v>
      </c>
      <c r="C374" s="14" t="s">
        <v>246</v>
      </c>
      <c r="D374" s="18">
        <v>1.0</v>
      </c>
      <c r="E374" s="14"/>
    </row>
    <row r="375" ht="22.5" customHeight="1">
      <c r="A375" s="12">
        <v>45114.0</v>
      </c>
      <c r="B375" s="14" t="s">
        <v>15</v>
      </c>
      <c r="C375" s="14" t="s">
        <v>246</v>
      </c>
      <c r="D375" s="18">
        <v>1.0</v>
      </c>
      <c r="E375" s="14"/>
    </row>
    <row r="376" ht="22.5" customHeight="1">
      <c r="A376" s="12"/>
      <c r="B376" s="14" t="s">
        <v>18</v>
      </c>
      <c r="C376" s="14" t="s">
        <v>247</v>
      </c>
      <c r="D376" s="18">
        <v>12.0</v>
      </c>
      <c r="E376" s="14"/>
    </row>
    <row r="377" ht="22.5" customHeight="1">
      <c r="A377" s="12"/>
      <c r="B377" s="14" t="s">
        <v>15</v>
      </c>
      <c r="C377" s="14" t="s">
        <v>247</v>
      </c>
      <c r="D377" s="18">
        <v>8.0</v>
      </c>
      <c r="E377" s="14"/>
    </row>
    <row r="378" ht="22.5" customHeight="1">
      <c r="A378" s="12"/>
      <c r="B378" s="14" t="s">
        <v>18</v>
      </c>
      <c r="C378" s="14" t="s">
        <v>248</v>
      </c>
      <c r="D378" s="18">
        <v>12.0</v>
      </c>
      <c r="E378" s="14"/>
    </row>
    <row r="379" ht="22.5" customHeight="1">
      <c r="A379" s="12"/>
      <c r="B379" s="14" t="s">
        <v>15</v>
      </c>
      <c r="C379" s="14" t="s">
        <v>248</v>
      </c>
      <c r="D379" s="18">
        <v>10.0</v>
      </c>
      <c r="E379" s="14"/>
    </row>
    <row r="380" ht="22.5" customHeight="1">
      <c r="A380" s="12">
        <v>46211.0</v>
      </c>
      <c r="B380" s="14" t="s">
        <v>18</v>
      </c>
      <c r="C380" s="14" t="s">
        <v>249</v>
      </c>
      <c r="D380" s="18">
        <v>100.0</v>
      </c>
      <c r="E380" s="14"/>
    </row>
    <row r="381" ht="22.5" customHeight="1">
      <c r="A381" s="12">
        <v>46216.0</v>
      </c>
      <c r="B381" s="14" t="s">
        <v>15</v>
      </c>
      <c r="C381" s="14" t="s">
        <v>249</v>
      </c>
      <c r="D381" s="18">
        <v>28.0</v>
      </c>
      <c r="E381" s="14"/>
    </row>
    <row r="382" ht="22.5" customHeight="1">
      <c r="A382" s="12">
        <v>46252.0</v>
      </c>
      <c r="B382" s="14" t="s">
        <v>18</v>
      </c>
      <c r="C382" s="14" t="s">
        <v>210</v>
      </c>
      <c r="D382" s="18">
        <v>17.0</v>
      </c>
      <c r="E382" s="14"/>
    </row>
    <row r="383" ht="22.5" customHeight="1">
      <c r="A383" s="12">
        <v>45699.0</v>
      </c>
      <c r="B383" s="14" t="s">
        <v>15</v>
      </c>
      <c r="C383" s="14" t="s">
        <v>147</v>
      </c>
      <c r="D383" s="18">
        <v>4.0</v>
      </c>
      <c r="E383" s="14"/>
    </row>
    <row r="384" ht="22.5" customHeight="1">
      <c r="A384" s="12">
        <v>46254.0</v>
      </c>
      <c r="B384" s="14" t="s">
        <v>18</v>
      </c>
      <c r="C384" s="14" t="s">
        <v>216</v>
      </c>
      <c r="D384" s="18">
        <v>120.0</v>
      </c>
      <c r="E384" s="14"/>
    </row>
    <row r="385" ht="22.5" customHeight="1">
      <c r="A385" s="12"/>
      <c r="B385" s="42"/>
      <c r="C385" s="42"/>
      <c r="D385" s="18"/>
      <c r="E385" s="14"/>
    </row>
    <row r="386" ht="22.5" customHeight="1">
      <c r="A386" s="12"/>
      <c r="B386" s="42"/>
      <c r="C386" s="42"/>
      <c r="D386" s="18"/>
      <c r="E386" s="14"/>
    </row>
    <row r="387" ht="22.5" customHeight="1">
      <c r="A387" s="12"/>
      <c r="B387" s="42"/>
      <c r="C387" s="42"/>
      <c r="D387" s="18"/>
      <c r="E387" s="14"/>
    </row>
    <row r="388" ht="22.5" customHeight="1">
      <c r="A388" s="12"/>
      <c r="B388" s="42"/>
      <c r="C388" s="42"/>
      <c r="D388" s="18"/>
      <c r="E388" s="14"/>
    </row>
    <row r="389" ht="22.5" customHeight="1">
      <c r="A389" s="12"/>
      <c r="B389" s="42"/>
      <c r="C389" s="42"/>
      <c r="D389" s="18"/>
      <c r="E389" s="14"/>
    </row>
    <row r="390" ht="22.5" customHeight="1">
      <c r="A390" s="12"/>
      <c r="B390" s="42"/>
      <c r="C390" s="42"/>
      <c r="D390" s="18"/>
      <c r="E390" s="14"/>
    </row>
    <row r="391" ht="22.5" customHeight="1">
      <c r="A391" s="12"/>
      <c r="B391" s="42"/>
      <c r="C391" s="42"/>
      <c r="D391" s="18"/>
      <c r="E391" s="14"/>
    </row>
    <row r="392" ht="22.5" customHeight="1">
      <c r="A392" s="12"/>
      <c r="B392" s="42"/>
      <c r="C392" s="42"/>
      <c r="D392" s="18"/>
      <c r="E392" s="14"/>
    </row>
    <row r="393" ht="22.5" customHeight="1">
      <c r="A393" s="12"/>
      <c r="B393" s="42"/>
      <c r="C393" s="42"/>
      <c r="D393" s="18"/>
      <c r="E393" s="14"/>
    </row>
    <row r="394" ht="22.5" customHeight="1">
      <c r="A394" s="12"/>
      <c r="B394" s="42"/>
      <c r="C394" s="42"/>
      <c r="D394" s="18"/>
      <c r="E394" s="14"/>
    </row>
    <row r="395" ht="22.5" customHeight="1">
      <c r="A395" s="12"/>
      <c r="B395" s="42"/>
      <c r="C395" s="42"/>
      <c r="D395" s="18"/>
      <c r="E395" s="14"/>
    </row>
    <row r="396" ht="22.5" customHeight="1">
      <c r="A396" s="12"/>
      <c r="B396" s="42"/>
      <c r="C396" s="42"/>
      <c r="D396" s="18"/>
      <c r="E396" s="14"/>
    </row>
    <row r="397" ht="22.5" customHeight="1">
      <c r="A397" s="12"/>
      <c r="B397" s="42"/>
      <c r="C397" s="42"/>
      <c r="D397" s="18"/>
      <c r="E397" s="14"/>
    </row>
    <row r="398" ht="22.5" customHeight="1">
      <c r="A398" s="12"/>
      <c r="B398" s="42"/>
      <c r="C398" s="42"/>
      <c r="D398" s="18"/>
      <c r="E398" s="14"/>
    </row>
    <row r="399" ht="22.5" customHeight="1">
      <c r="A399" s="12"/>
      <c r="B399" s="42"/>
      <c r="C399" s="42"/>
      <c r="D399" s="18"/>
      <c r="E399" s="14"/>
    </row>
    <row r="400" ht="22.5" customHeight="1">
      <c r="A400" s="12"/>
      <c r="B400" s="42"/>
      <c r="C400" s="42"/>
      <c r="D400" s="18"/>
      <c r="E400" s="14"/>
    </row>
    <row r="401" ht="22.5" customHeight="1">
      <c r="A401" s="12"/>
      <c r="B401" s="42"/>
      <c r="C401" s="42"/>
      <c r="D401" s="18"/>
      <c r="E401" s="14"/>
    </row>
    <row r="402" ht="22.5" customHeight="1">
      <c r="A402" s="12"/>
      <c r="B402" s="42"/>
      <c r="C402" s="42"/>
      <c r="D402" s="18"/>
      <c r="E402" s="14"/>
    </row>
    <row r="403" ht="22.5" customHeight="1">
      <c r="A403" s="12"/>
      <c r="B403" s="42"/>
      <c r="C403" s="42"/>
      <c r="D403" s="18"/>
      <c r="E403" s="14"/>
    </row>
    <row r="404" ht="22.5" customHeight="1">
      <c r="A404" s="12"/>
      <c r="B404" s="42"/>
      <c r="C404" s="42"/>
      <c r="D404" s="18"/>
      <c r="E404" s="14"/>
    </row>
    <row r="405" ht="22.5" customHeight="1">
      <c r="A405" s="12"/>
      <c r="B405" s="42"/>
      <c r="C405" s="42"/>
      <c r="D405" s="18"/>
      <c r="E405" s="14"/>
    </row>
    <row r="406" ht="22.5" customHeight="1">
      <c r="A406" s="12"/>
      <c r="B406" s="42"/>
      <c r="C406" s="42"/>
      <c r="D406" s="18"/>
      <c r="E406" s="14"/>
    </row>
    <row r="407" ht="22.5" customHeight="1">
      <c r="A407" s="12"/>
      <c r="B407" s="42"/>
      <c r="C407" s="42"/>
      <c r="D407" s="18"/>
      <c r="E407" s="14"/>
    </row>
    <row r="408" ht="22.5" customHeight="1">
      <c r="A408" s="12"/>
      <c r="B408" s="42"/>
      <c r="C408" s="42"/>
      <c r="D408" s="18"/>
      <c r="E408" s="14"/>
    </row>
    <row r="409" ht="22.5" customHeight="1">
      <c r="A409" s="12"/>
      <c r="B409" s="42"/>
      <c r="C409" s="42"/>
      <c r="D409" s="18"/>
      <c r="E409" s="14"/>
    </row>
    <row r="410" ht="22.5" customHeight="1">
      <c r="A410" s="12"/>
      <c r="B410" s="42"/>
      <c r="C410" s="42"/>
      <c r="D410" s="18"/>
      <c r="E410" s="14"/>
    </row>
    <row r="411" ht="22.5" customHeight="1">
      <c r="A411" s="12"/>
      <c r="B411" s="42"/>
      <c r="C411" s="42"/>
      <c r="D411" s="18"/>
      <c r="E411" s="14"/>
    </row>
    <row r="412" ht="22.5" customHeight="1">
      <c r="A412" s="12"/>
      <c r="B412" s="42"/>
      <c r="C412" s="42"/>
      <c r="D412" s="18"/>
      <c r="E412" s="14"/>
    </row>
    <row r="413" ht="22.5" customHeight="1">
      <c r="A413" s="12"/>
      <c r="B413" s="42"/>
      <c r="C413" s="42"/>
      <c r="D413" s="18"/>
      <c r="E413" s="14"/>
    </row>
    <row r="414" ht="22.5" customHeight="1">
      <c r="A414" s="12"/>
      <c r="B414" s="42"/>
      <c r="C414" s="42"/>
      <c r="D414" s="18"/>
      <c r="E414" s="14"/>
    </row>
    <row r="415" ht="22.5" customHeight="1">
      <c r="A415" s="12"/>
      <c r="B415" s="42"/>
      <c r="C415" s="42"/>
      <c r="D415" s="18"/>
      <c r="E415" s="14"/>
    </row>
    <row r="416" ht="22.5" customHeight="1">
      <c r="A416" s="12"/>
      <c r="B416" s="42"/>
      <c r="C416" s="42"/>
      <c r="D416" s="18"/>
      <c r="E416" s="14"/>
    </row>
    <row r="417" ht="22.5" customHeight="1">
      <c r="A417" s="12"/>
      <c r="B417" s="42"/>
      <c r="C417" s="42"/>
      <c r="D417" s="18"/>
      <c r="E417" s="14"/>
    </row>
    <row r="418" ht="22.5" customHeight="1">
      <c r="A418" s="12"/>
      <c r="B418" s="42"/>
      <c r="C418" s="42"/>
      <c r="D418" s="18"/>
      <c r="E418" s="14"/>
    </row>
    <row r="419" ht="22.5" customHeight="1">
      <c r="A419" s="12"/>
      <c r="B419" s="42"/>
      <c r="C419" s="42"/>
      <c r="D419" s="18"/>
      <c r="E419" s="14"/>
    </row>
    <row r="420" ht="22.5" customHeight="1">
      <c r="A420" s="12"/>
      <c r="B420" s="42"/>
      <c r="C420" s="42"/>
      <c r="D420" s="18"/>
      <c r="E420" s="14"/>
    </row>
    <row r="421" ht="22.5" customHeight="1">
      <c r="A421" s="12"/>
      <c r="B421" s="42"/>
      <c r="C421" s="42"/>
      <c r="D421" s="18"/>
      <c r="E421" s="14"/>
    </row>
    <row r="422" ht="22.5" customHeight="1">
      <c r="A422" s="12"/>
      <c r="B422" s="42"/>
      <c r="C422" s="42"/>
      <c r="D422" s="18"/>
      <c r="E422" s="14"/>
    </row>
    <row r="423" ht="22.5" customHeight="1">
      <c r="A423" s="12"/>
      <c r="B423" s="42"/>
      <c r="C423" s="42"/>
      <c r="D423" s="18"/>
      <c r="E423" s="14"/>
    </row>
    <row r="424" ht="22.5" customHeight="1">
      <c r="A424" s="12">
        <v>46003.0</v>
      </c>
      <c r="B424" s="14" t="s">
        <v>15</v>
      </c>
      <c r="C424" s="14" t="s">
        <v>74</v>
      </c>
      <c r="D424" s="18">
        <v>7.0</v>
      </c>
      <c r="E424" s="14" t="s">
        <v>19</v>
      </c>
    </row>
    <row r="425" ht="22.5" customHeight="1">
      <c r="A425" s="12">
        <v>46148.0</v>
      </c>
      <c r="B425" s="14" t="s">
        <v>15</v>
      </c>
      <c r="C425" s="14" t="s">
        <v>74</v>
      </c>
      <c r="D425" s="18">
        <v>4.0</v>
      </c>
      <c r="E425" s="14" t="s">
        <v>19</v>
      </c>
    </row>
    <row r="426" ht="22.5" customHeight="1">
      <c r="A426" s="12"/>
      <c r="B426" s="14"/>
      <c r="C426" s="14"/>
      <c r="D426" s="18"/>
      <c r="E426" s="14"/>
    </row>
    <row r="427">
      <c r="A427" s="85"/>
      <c r="B427" s="85"/>
      <c r="C427" s="85"/>
      <c r="D427" s="86"/>
      <c r="E427" s="85"/>
    </row>
    <row r="428">
      <c r="A428" s="85"/>
      <c r="B428" s="85"/>
      <c r="C428" s="85"/>
      <c r="D428" s="86"/>
      <c r="E428" s="85"/>
    </row>
    <row r="429">
      <c r="A429" s="85"/>
      <c r="B429" s="85"/>
      <c r="C429" s="85"/>
      <c r="D429" s="86"/>
      <c r="E429" s="85"/>
    </row>
    <row r="430">
      <c r="A430" s="85"/>
      <c r="B430" s="85"/>
      <c r="C430" s="85"/>
      <c r="D430" s="86"/>
      <c r="E430" s="85"/>
    </row>
    <row r="431">
      <c r="A431" s="85"/>
      <c r="B431" s="85"/>
      <c r="C431" s="85"/>
      <c r="D431" s="86"/>
      <c r="E431" s="85"/>
    </row>
    <row r="432">
      <c r="A432" s="85"/>
      <c r="B432" s="85"/>
      <c r="C432" s="85"/>
      <c r="D432" s="86"/>
      <c r="E432" s="85"/>
    </row>
    <row r="433">
      <c r="A433" s="85"/>
      <c r="B433" s="85"/>
      <c r="C433" s="85"/>
      <c r="D433" s="86"/>
      <c r="E433" s="85"/>
    </row>
    <row r="434">
      <c r="A434" s="85"/>
      <c r="B434" s="85"/>
      <c r="C434" s="85"/>
      <c r="D434" s="86"/>
      <c r="E434" s="85"/>
    </row>
    <row r="435">
      <c r="A435" s="85"/>
      <c r="B435" s="85"/>
      <c r="C435" s="85"/>
      <c r="D435" s="86"/>
      <c r="E435" s="85"/>
    </row>
    <row r="436">
      <c r="A436" s="85"/>
      <c r="B436" s="85"/>
      <c r="C436" s="85"/>
      <c r="D436" s="86"/>
      <c r="E436" s="85"/>
    </row>
    <row r="437">
      <c r="A437" s="85"/>
      <c r="B437" s="85"/>
      <c r="C437" s="85"/>
      <c r="D437" s="86"/>
      <c r="E437" s="85"/>
    </row>
    <row r="438">
      <c r="A438" s="85"/>
      <c r="B438" s="85"/>
      <c r="C438" s="85"/>
      <c r="D438" s="86"/>
      <c r="E438" s="85"/>
    </row>
    <row r="439">
      <c r="A439" s="85"/>
      <c r="B439" s="85"/>
      <c r="C439" s="85"/>
      <c r="D439" s="86"/>
      <c r="E439" s="85"/>
    </row>
    <row r="440">
      <c r="A440" s="85"/>
      <c r="B440" s="85"/>
      <c r="C440" s="85"/>
      <c r="D440" s="86"/>
      <c r="E440" s="85"/>
    </row>
    <row r="441">
      <c r="A441" s="85"/>
      <c r="B441" s="85"/>
      <c r="C441" s="85"/>
      <c r="D441" s="86"/>
      <c r="E441" s="85"/>
    </row>
    <row r="442">
      <c r="A442" s="85"/>
      <c r="B442" s="85"/>
      <c r="C442" s="85"/>
      <c r="D442" s="86"/>
      <c r="E442" s="85"/>
    </row>
    <row r="443">
      <c r="A443" s="85"/>
      <c r="B443" s="85"/>
      <c r="C443" s="85"/>
      <c r="D443" s="86"/>
      <c r="E443" s="85"/>
    </row>
    <row r="444">
      <c r="A444" s="85"/>
      <c r="B444" s="85"/>
      <c r="C444" s="85"/>
      <c r="D444" s="86"/>
      <c r="E444" s="85"/>
    </row>
    <row r="445">
      <c r="A445" s="85"/>
      <c r="B445" s="85"/>
      <c r="C445" s="85"/>
      <c r="D445" s="86"/>
      <c r="E445" s="85"/>
    </row>
    <row r="446">
      <c r="A446" s="85"/>
      <c r="B446" s="85"/>
      <c r="C446" s="85"/>
      <c r="D446" s="86"/>
      <c r="E446" s="85"/>
    </row>
    <row r="447">
      <c r="A447" s="85"/>
      <c r="B447" s="85"/>
      <c r="C447" s="85"/>
      <c r="D447" s="86"/>
      <c r="E447" s="85"/>
    </row>
    <row r="448">
      <c r="A448" s="85"/>
      <c r="B448" s="85"/>
      <c r="C448" s="85"/>
      <c r="D448" s="86"/>
      <c r="E448" s="85"/>
    </row>
    <row r="449">
      <c r="A449" s="85"/>
      <c r="B449" s="85"/>
      <c r="C449" s="85"/>
      <c r="D449" s="86"/>
      <c r="E449" s="85"/>
    </row>
    <row r="450">
      <c r="A450" s="85"/>
      <c r="B450" s="85"/>
      <c r="C450" s="85"/>
      <c r="D450" s="86"/>
      <c r="E450" s="85"/>
    </row>
    <row r="451">
      <c r="A451" s="85"/>
      <c r="B451" s="85"/>
      <c r="C451" s="85"/>
      <c r="D451" s="86"/>
      <c r="E451" s="85"/>
    </row>
    <row r="452">
      <c r="A452" s="85"/>
      <c r="B452" s="85"/>
      <c r="C452" s="85"/>
      <c r="D452" s="86"/>
      <c r="E452" s="85"/>
    </row>
    <row r="453">
      <c r="A453" s="85"/>
      <c r="B453" s="85"/>
      <c r="C453" s="85"/>
      <c r="D453" s="86"/>
      <c r="E453" s="85"/>
    </row>
    <row r="454">
      <c r="A454" s="85"/>
      <c r="B454" s="85"/>
      <c r="C454" s="85"/>
      <c r="D454" s="86"/>
      <c r="E454" s="85"/>
    </row>
    <row r="455">
      <c r="A455" s="85"/>
      <c r="B455" s="85"/>
      <c r="C455" s="85"/>
      <c r="D455" s="86"/>
      <c r="E455" s="85"/>
    </row>
    <row r="456">
      <c r="A456" s="85"/>
      <c r="B456" s="85"/>
      <c r="C456" s="85"/>
      <c r="D456" s="86"/>
      <c r="E456" s="85"/>
    </row>
    <row r="457">
      <c r="A457" s="85"/>
      <c r="B457" s="85"/>
      <c r="C457" s="85"/>
      <c r="D457" s="86"/>
      <c r="E457" s="85"/>
    </row>
    <row r="458">
      <c r="A458" s="85"/>
      <c r="B458" s="85"/>
      <c r="C458" s="85"/>
      <c r="D458" s="86"/>
      <c r="E458" s="85"/>
    </row>
    <row r="459">
      <c r="A459" s="85"/>
      <c r="B459" s="85"/>
      <c r="C459" s="85"/>
      <c r="D459" s="86"/>
      <c r="E459" s="85"/>
    </row>
    <row r="460">
      <c r="A460" s="85"/>
      <c r="B460" s="85"/>
      <c r="C460" s="85"/>
      <c r="D460" s="86"/>
      <c r="E460" s="85"/>
    </row>
    <row r="461">
      <c r="A461" s="85"/>
      <c r="B461" s="85"/>
      <c r="C461" s="85"/>
      <c r="D461" s="86"/>
      <c r="E461" s="85"/>
    </row>
    <row r="462">
      <c r="A462" s="85"/>
      <c r="B462" s="85"/>
      <c r="C462" s="85"/>
      <c r="D462" s="86"/>
      <c r="E462" s="85"/>
    </row>
    <row r="463">
      <c r="A463" s="85"/>
      <c r="B463" s="85"/>
      <c r="C463" s="85"/>
      <c r="D463" s="86"/>
      <c r="E463" s="85"/>
    </row>
    <row r="464">
      <c r="A464" s="85"/>
      <c r="B464" s="85"/>
      <c r="C464" s="85"/>
      <c r="D464" s="86"/>
      <c r="E464" s="85"/>
    </row>
    <row r="465">
      <c r="A465" s="85"/>
      <c r="B465" s="85"/>
      <c r="C465" s="85"/>
      <c r="D465" s="86"/>
      <c r="E465" s="85"/>
    </row>
    <row r="466">
      <c r="A466" s="85"/>
      <c r="B466" s="85"/>
      <c r="C466" s="85"/>
      <c r="D466" s="86"/>
      <c r="E466" s="85"/>
    </row>
    <row r="467">
      <c r="A467" s="85"/>
      <c r="B467" s="85"/>
      <c r="C467" s="85"/>
      <c r="D467" s="86"/>
      <c r="E467" s="85"/>
    </row>
    <row r="468">
      <c r="A468" s="85"/>
      <c r="B468" s="85"/>
      <c r="C468" s="85"/>
      <c r="D468" s="86"/>
      <c r="E468" s="85"/>
    </row>
    <row r="469">
      <c r="A469" s="85"/>
      <c r="B469" s="85"/>
      <c r="C469" s="85"/>
      <c r="D469" s="86"/>
      <c r="E469" s="85"/>
    </row>
    <row r="470">
      <c r="A470" s="85"/>
      <c r="B470" s="85"/>
      <c r="C470" s="85"/>
      <c r="D470" s="86"/>
      <c r="E470" s="85"/>
    </row>
    <row r="471">
      <c r="A471" s="85"/>
      <c r="B471" s="85"/>
      <c r="C471" s="85"/>
      <c r="D471" s="86"/>
      <c r="E471" s="85"/>
    </row>
    <row r="472">
      <c r="A472" s="85"/>
      <c r="B472" s="85"/>
      <c r="C472" s="85"/>
      <c r="D472" s="86"/>
      <c r="E472" s="85"/>
    </row>
    <row r="473">
      <c r="A473" s="85"/>
      <c r="B473" s="85"/>
      <c r="C473" s="85"/>
      <c r="D473" s="86"/>
      <c r="E473" s="85"/>
    </row>
    <row r="474">
      <c r="A474" s="85"/>
      <c r="B474" s="85"/>
      <c r="C474" s="85"/>
      <c r="D474" s="86"/>
      <c r="E474" s="85"/>
    </row>
    <row r="475">
      <c r="A475" s="85"/>
      <c r="B475" s="85"/>
      <c r="C475" s="85"/>
      <c r="D475" s="86"/>
      <c r="E475" s="85"/>
    </row>
    <row r="476">
      <c r="A476" s="85"/>
      <c r="B476" s="85"/>
      <c r="C476" s="85"/>
      <c r="D476" s="86"/>
      <c r="E476" s="85"/>
    </row>
    <row r="477">
      <c r="A477" s="85"/>
      <c r="B477" s="85"/>
      <c r="C477" s="85"/>
      <c r="D477" s="86"/>
      <c r="E477" s="85"/>
    </row>
    <row r="478">
      <c r="A478" s="85"/>
      <c r="B478" s="85"/>
      <c r="C478" s="85"/>
      <c r="D478" s="86"/>
      <c r="E478" s="85"/>
    </row>
    <row r="479">
      <c r="A479" s="85"/>
      <c r="B479" s="85"/>
      <c r="C479" s="85"/>
      <c r="D479" s="86"/>
      <c r="E479" s="85"/>
    </row>
    <row r="480">
      <c r="A480" s="85"/>
      <c r="B480" s="85"/>
      <c r="C480" s="85"/>
      <c r="D480" s="86"/>
      <c r="E480" s="85"/>
    </row>
    <row r="481">
      <c r="A481" s="85"/>
      <c r="B481" s="85"/>
      <c r="C481" s="85"/>
      <c r="D481" s="86"/>
      <c r="E481" s="85"/>
    </row>
    <row r="482">
      <c r="A482" s="85"/>
      <c r="B482" s="85"/>
      <c r="C482" s="85"/>
      <c r="D482" s="86"/>
      <c r="E482" s="85"/>
    </row>
    <row r="483">
      <c r="A483" s="85"/>
      <c r="B483" s="85"/>
      <c r="C483" s="85"/>
      <c r="D483" s="86"/>
      <c r="E483" s="85"/>
    </row>
    <row r="484">
      <c r="A484" s="85"/>
      <c r="B484" s="85"/>
      <c r="C484" s="85"/>
      <c r="D484" s="86"/>
      <c r="E484" s="85"/>
    </row>
    <row r="485">
      <c r="A485" s="85"/>
      <c r="B485" s="85"/>
      <c r="C485" s="85"/>
      <c r="D485" s="86"/>
      <c r="E485" s="85"/>
    </row>
    <row r="486">
      <c r="A486" s="85"/>
      <c r="B486" s="85"/>
      <c r="C486" s="85"/>
      <c r="D486" s="86"/>
      <c r="E486" s="85"/>
    </row>
    <row r="487">
      <c r="A487" s="85"/>
      <c r="B487" s="85"/>
      <c r="C487" s="85"/>
      <c r="D487" s="86"/>
      <c r="E487" s="85"/>
    </row>
    <row r="488">
      <c r="A488" s="85"/>
      <c r="B488" s="85"/>
      <c r="C488" s="85"/>
      <c r="D488" s="86"/>
      <c r="E488" s="85"/>
    </row>
    <row r="489">
      <c r="A489" s="85"/>
      <c r="B489" s="85"/>
      <c r="C489" s="85"/>
      <c r="D489" s="86"/>
      <c r="E489" s="85"/>
    </row>
    <row r="490">
      <c r="A490" s="85"/>
      <c r="B490" s="85"/>
      <c r="C490" s="85"/>
      <c r="D490" s="86"/>
      <c r="E490" s="85"/>
    </row>
    <row r="491">
      <c r="A491" s="85"/>
      <c r="B491" s="85"/>
      <c r="C491" s="85"/>
      <c r="D491" s="86"/>
      <c r="E491" s="85"/>
    </row>
    <row r="492">
      <c r="A492" s="85"/>
      <c r="B492" s="85"/>
      <c r="C492" s="85"/>
      <c r="D492" s="86"/>
      <c r="E492" s="85"/>
    </row>
    <row r="493">
      <c r="A493" s="85"/>
      <c r="B493" s="85"/>
      <c r="C493" s="85"/>
      <c r="D493" s="86"/>
      <c r="E493" s="85"/>
    </row>
    <row r="494">
      <c r="A494" s="85"/>
      <c r="B494" s="85"/>
      <c r="C494" s="85"/>
      <c r="D494" s="86"/>
      <c r="E494" s="85"/>
    </row>
    <row r="495">
      <c r="A495" s="85"/>
      <c r="B495" s="85"/>
      <c r="C495" s="85"/>
      <c r="D495" s="86"/>
      <c r="E495" s="85"/>
    </row>
    <row r="496">
      <c r="A496" s="85"/>
      <c r="B496" s="85"/>
      <c r="C496" s="85"/>
      <c r="D496" s="86"/>
      <c r="E496" s="85"/>
    </row>
    <row r="497">
      <c r="A497" s="85"/>
      <c r="B497" s="85"/>
      <c r="C497" s="85"/>
      <c r="D497" s="86"/>
      <c r="E497" s="85"/>
    </row>
    <row r="498">
      <c r="A498" s="85"/>
      <c r="B498" s="85"/>
      <c r="C498" s="85"/>
      <c r="D498" s="86"/>
      <c r="E498" s="85"/>
    </row>
    <row r="499">
      <c r="A499" s="85"/>
      <c r="B499" s="85"/>
      <c r="C499" s="85"/>
      <c r="D499" s="86"/>
      <c r="E499" s="85"/>
    </row>
    <row r="500">
      <c r="A500" s="85"/>
      <c r="B500" s="85"/>
      <c r="C500" s="85"/>
      <c r="D500" s="86"/>
      <c r="E500" s="85"/>
    </row>
    <row r="501">
      <c r="A501" s="85"/>
      <c r="B501" s="85"/>
      <c r="C501" s="85"/>
      <c r="D501" s="86"/>
      <c r="E501" s="85"/>
    </row>
    <row r="502">
      <c r="A502" s="85"/>
      <c r="B502" s="85"/>
      <c r="C502" s="85"/>
      <c r="D502" s="86"/>
      <c r="E502" s="85"/>
    </row>
    <row r="503">
      <c r="A503" s="85"/>
      <c r="B503" s="85"/>
      <c r="C503" s="85"/>
      <c r="D503" s="86"/>
      <c r="E503" s="85"/>
    </row>
    <row r="504">
      <c r="A504" s="85"/>
      <c r="B504" s="85"/>
      <c r="C504" s="85"/>
      <c r="D504" s="86"/>
      <c r="E504" s="85"/>
    </row>
    <row r="505">
      <c r="A505" s="85"/>
      <c r="B505" s="85"/>
      <c r="C505" s="85"/>
      <c r="D505" s="86"/>
      <c r="E505" s="85"/>
    </row>
    <row r="506">
      <c r="A506" s="85"/>
      <c r="B506" s="85"/>
      <c r="C506" s="85"/>
      <c r="D506" s="86"/>
      <c r="E506" s="85"/>
    </row>
    <row r="507">
      <c r="A507" s="85"/>
      <c r="B507" s="85"/>
      <c r="C507" s="85"/>
      <c r="D507" s="86"/>
      <c r="E507" s="85"/>
    </row>
    <row r="508">
      <c r="A508" s="85"/>
      <c r="B508" s="85"/>
      <c r="C508" s="85"/>
      <c r="D508" s="86"/>
      <c r="E508" s="85"/>
    </row>
    <row r="509">
      <c r="A509" s="85"/>
      <c r="B509" s="85"/>
      <c r="C509" s="85"/>
      <c r="D509" s="86"/>
      <c r="E509" s="85"/>
    </row>
    <row r="510">
      <c r="A510" s="85"/>
      <c r="B510" s="85"/>
      <c r="C510" s="85"/>
      <c r="D510" s="86"/>
      <c r="E510" s="85"/>
    </row>
    <row r="511">
      <c r="A511" s="85"/>
      <c r="B511" s="85"/>
      <c r="C511" s="85"/>
      <c r="D511" s="86"/>
      <c r="E511" s="85"/>
    </row>
    <row r="512">
      <c r="A512" s="85"/>
      <c r="B512" s="85"/>
      <c r="C512" s="85"/>
      <c r="D512" s="86"/>
      <c r="E512" s="85"/>
    </row>
    <row r="513">
      <c r="A513" s="85"/>
      <c r="B513" s="85"/>
      <c r="C513" s="85"/>
      <c r="D513" s="86"/>
      <c r="E513" s="85"/>
    </row>
    <row r="514">
      <c r="A514" s="85"/>
      <c r="B514" s="85"/>
      <c r="C514" s="85"/>
      <c r="D514" s="86"/>
      <c r="E514" s="85"/>
    </row>
    <row r="515">
      <c r="A515" s="85"/>
      <c r="B515" s="85"/>
      <c r="C515" s="85"/>
      <c r="D515" s="86"/>
      <c r="E515" s="85"/>
    </row>
    <row r="516">
      <c r="A516" s="85"/>
      <c r="B516" s="85"/>
      <c r="C516" s="85"/>
      <c r="D516" s="86"/>
      <c r="E516" s="85"/>
    </row>
    <row r="517">
      <c r="A517" s="85"/>
      <c r="B517" s="85"/>
      <c r="C517" s="85"/>
      <c r="D517" s="86"/>
      <c r="E517" s="85"/>
    </row>
    <row r="518">
      <c r="A518" s="85"/>
      <c r="B518" s="85"/>
      <c r="C518" s="85"/>
      <c r="D518" s="86"/>
      <c r="E518" s="85"/>
    </row>
    <row r="519">
      <c r="A519" s="85"/>
      <c r="B519" s="85"/>
      <c r="C519" s="85"/>
      <c r="D519" s="86"/>
      <c r="E519" s="85"/>
    </row>
    <row r="520">
      <c r="A520" s="85"/>
      <c r="B520" s="85"/>
      <c r="C520" s="85"/>
      <c r="D520" s="86"/>
      <c r="E520" s="85"/>
    </row>
    <row r="521">
      <c r="A521" s="85"/>
      <c r="B521" s="85"/>
      <c r="C521" s="85"/>
      <c r="D521" s="86"/>
      <c r="E521" s="85"/>
    </row>
    <row r="522">
      <c r="A522" s="85"/>
      <c r="B522" s="85"/>
      <c r="C522" s="85"/>
      <c r="D522" s="86"/>
      <c r="E522" s="85"/>
    </row>
    <row r="523">
      <c r="A523" s="85"/>
      <c r="B523" s="85"/>
      <c r="C523" s="85"/>
      <c r="D523" s="86"/>
      <c r="E523" s="85"/>
    </row>
    <row r="524">
      <c r="A524" s="85"/>
      <c r="B524" s="85"/>
      <c r="C524" s="85"/>
      <c r="D524" s="86"/>
      <c r="E524" s="85"/>
    </row>
    <row r="525">
      <c r="A525" s="85"/>
      <c r="B525" s="85"/>
      <c r="C525" s="85"/>
      <c r="D525" s="86"/>
      <c r="E525" s="85"/>
    </row>
    <row r="526">
      <c r="A526" s="85"/>
      <c r="B526" s="85"/>
      <c r="C526" s="85"/>
      <c r="D526" s="86"/>
      <c r="E526" s="85"/>
    </row>
    <row r="527">
      <c r="A527" s="85"/>
      <c r="B527" s="85"/>
      <c r="C527" s="85"/>
      <c r="D527" s="86"/>
      <c r="E527" s="85"/>
    </row>
    <row r="528">
      <c r="A528" s="85"/>
      <c r="B528" s="85"/>
      <c r="C528" s="85"/>
      <c r="D528" s="86"/>
      <c r="E528" s="85"/>
    </row>
    <row r="529">
      <c r="A529" s="85"/>
      <c r="B529" s="85"/>
      <c r="C529" s="85"/>
      <c r="D529" s="86"/>
      <c r="E529" s="85"/>
    </row>
    <row r="530">
      <c r="A530" s="85"/>
      <c r="B530" s="85"/>
      <c r="C530" s="85"/>
      <c r="D530" s="86"/>
      <c r="E530" s="85"/>
    </row>
    <row r="531">
      <c r="A531" s="85"/>
      <c r="B531" s="85"/>
      <c r="C531" s="85"/>
      <c r="D531" s="86"/>
      <c r="E531" s="85"/>
    </row>
    <row r="532">
      <c r="A532" s="85"/>
      <c r="B532" s="85"/>
      <c r="C532" s="85"/>
      <c r="D532" s="86"/>
      <c r="E532" s="85"/>
    </row>
    <row r="533">
      <c r="A533" s="85"/>
      <c r="B533" s="85"/>
      <c r="C533" s="85"/>
      <c r="D533" s="86"/>
      <c r="E533" s="85"/>
    </row>
    <row r="534">
      <c r="A534" s="85"/>
      <c r="B534" s="85"/>
      <c r="C534" s="85"/>
      <c r="D534" s="86"/>
      <c r="E534" s="85"/>
    </row>
    <row r="535">
      <c r="A535" s="85"/>
      <c r="B535" s="85"/>
      <c r="C535" s="85"/>
      <c r="D535" s="86"/>
      <c r="E535" s="85"/>
    </row>
    <row r="536">
      <c r="A536" s="85"/>
      <c r="B536" s="85"/>
      <c r="C536" s="85"/>
      <c r="D536" s="86"/>
      <c r="E536" s="85"/>
    </row>
    <row r="537">
      <c r="A537" s="85"/>
      <c r="B537" s="85"/>
      <c r="C537" s="85"/>
      <c r="D537" s="86"/>
      <c r="E537" s="85"/>
    </row>
    <row r="538">
      <c r="A538" s="85"/>
      <c r="B538" s="85"/>
      <c r="C538" s="85"/>
      <c r="D538" s="86"/>
      <c r="E538" s="85"/>
    </row>
    <row r="539">
      <c r="A539" s="85"/>
      <c r="B539" s="85"/>
      <c r="C539" s="85"/>
      <c r="D539" s="86"/>
      <c r="E539" s="85"/>
    </row>
    <row r="540">
      <c r="A540" s="85"/>
      <c r="B540" s="85"/>
      <c r="C540" s="85"/>
      <c r="D540" s="86"/>
      <c r="E540" s="85"/>
    </row>
    <row r="541">
      <c r="A541" s="85"/>
      <c r="B541" s="85"/>
      <c r="C541" s="85"/>
      <c r="D541" s="86"/>
      <c r="E541" s="85"/>
    </row>
    <row r="542">
      <c r="A542" s="85"/>
      <c r="B542" s="85"/>
      <c r="C542" s="85"/>
      <c r="D542" s="86"/>
      <c r="E542" s="85"/>
    </row>
    <row r="543">
      <c r="A543" s="85"/>
      <c r="B543" s="85"/>
      <c r="C543" s="85"/>
      <c r="D543" s="86"/>
      <c r="E543" s="85"/>
    </row>
    <row r="544">
      <c r="A544" s="85"/>
      <c r="B544" s="85"/>
      <c r="C544" s="85"/>
      <c r="D544" s="86"/>
      <c r="E544" s="85"/>
    </row>
    <row r="545">
      <c r="A545" s="85"/>
      <c r="B545" s="85"/>
      <c r="C545" s="85"/>
      <c r="D545" s="86"/>
      <c r="E545" s="85"/>
    </row>
    <row r="546">
      <c r="A546" s="85"/>
      <c r="B546" s="85"/>
      <c r="C546" s="85"/>
      <c r="D546" s="86"/>
      <c r="E546" s="85"/>
    </row>
    <row r="547">
      <c r="A547" s="85"/>
      <c r="B547" s="85"/>
      <c r="C547" s="85"/>
      <c r="D547" s="86"/>
      <c r="E547" s="85"/>
    </row>
    <row r="548">
      <c r="A548" s="85"/>
      <c r="B548" s="85"/>
      <c r="C548" s="85"/>
      <c r="D548" s="86"/>
      <c r="E548" s="85"/>
    </row>
    <row r="549">
      <c r="A549" s="85"/>
      <c r="B549" s="85"/>
      <c r="C549" s="85"/>
      <c r="D549" s="86"/>
      <c r="E549" s="85"/>
    </row>
    <row r="550">
      <c r="A550" s="85"/>
      <c r="B550" s="85"/>
      <c r="C550" s="85"/>
      <c r="D550" s="86"/>
      <c r="E550" s="85"/>
    </row>
    <row r="551">
      <c r="A551" s="85"/>
      <c r="B551" s="85"/>
      <c r="C551" s="85"/>
      <c r="D551" s="86"/>
      <c r="E551" s="85"/>
    </row>
    <row r="552">
      <c r="A552" s="85"/>
      <c r="B552" s="85"/>
      <c r="C552" s="85"/>
      <c r="D552" s="86"/>
      <c r="E552" s="85"/>
    </row>
    <row r="553">
      <c r="A553" s="85"/>
      <c r="B553" s="85"/>
      <c r="C553" s="85"/>
      <c r="D553" s="86"/>
      <c r="E553" s="85"/>
    </row>
    <row r="554">
      <c r="A554" s="85"/>
      <c r="B554" s="85"/>
      <c r="C554" s="85"/>
      <c r="D554" s="86"/>
      <c r="E554" s="85"/>
    </row>
    <row r="555">
      <c r="A555" s="85"/>
      <c r="B555" s="85"/>
      <c r="C555" s="85"/>
      <c r="D555" s="86"/>
      <c r="E555" s="85"/>
    </row>
    <row r="556">
      <c r="A556" s="85"/>
      <c r="B556" s="85"/>
      <c r="C556" s="85"/>
      <c r="D556" s="86"/>
      <c r="E556" s="85"/>
    </row>
    <row r="557">
      <c r="A557" s="85"/>
      <c r="B557" s="85"/>
      <c r="C557" s="85"/>
      <c r="D557" s="86"/>
      <c r="E557" s="85"/>
    </row>
    <row r="558">
      <c r="A558" s="85"/>
      <c r="B558" s="85"/>
      <c r="C558" s="85"/>
      <c r="D558" s="86"/>
      <c r="E558" s="85"/>
    </row>
    <row r="559">
      <c r="A559" s="85"/>
      <c r="B559" s="85"/>
      <c r="C559" s="85"/>
      <c r="D559" s="86"/>
      <c r="E559" s="85"/>
    </row>
    <row r="560">
      <c r="A560" s="85"/>
      <c r="B560" s="85"/>
      <c r="C560" s="85"/>
      <c r="D560" s="86"/>
      <c r="E560" s="85"/>
    </row>
    <row r="561">
      <c r="A561" s="85"/>
      <c r="B561" s="85"/>
      <c r="C561" s="85"/>
      <c r="D561" s="86"/>
      <c r="E561" s="85"/>
    </row>
    <row r="562">
      <c r="A562" s="85"/>
      <c r="B562" s="85"/>
      <c r="C562" s="85"/>
      <c r="D562" s="86"/>
      <c r="E562" s="85"/>
    </row>
    <row r="563">
      <c r="A563" s="85"/>
      <c r="B563" s="85"/>
      <c r="C563" s="85"/>
      <c r="D563" s="86"/>
      <c r="E563" s="85"/>
    </row>
    <row r="564">
      <c r="A564" s="85"/>
      <c r="B564" s="85"/>
      <c r="C564" s="85"/>
      <c r="D564" s="86"/>
      <c r="E564" s="85"/>
    </row>
    <row r="565">
      <c r="A565" s="85"/>
      <c r="B565" s="85"/>
      <c r="C565" s="85"/>
      <c r="D565" s="86"/>
      <c r="E565" s="85"/>
    </row>
    <row r="566">
      <c r="A566" s="85"/>
      <c r="B566" s="85"/>
      <c r="C566" s="85"/>
      <c r="D566" s="86"/>
      <c r="E566" s="85"/>
    </row>
    <row r="567">
      <c r="A567" s="85"/>
      <c r="B567" s="85"/>
      <c r="C567" s="85"/>
      <c r="D567" s="86"/>
      <c r="E567" s="85"/>
    </row>
    <row r="568">
      <c r="A568" s="85"/>
      <c r="B568" s="85"/>
      <c r="C568" s="85"/>
      <c r="D568" s="86"/>
      <c r="E568" s="85"/>
    </row>
    <row r="569">
      <c r="A569" s="85"/>
      <c r="B569" s="85"/>
      <c r="C569" s="85"/>
      <c r="D569" s="86"/>
      <c r="E569" s="85"/>
    </row>
    <row r="570">
      <c r="A570" s="85"/>
      <c r="B570" s="85"/>
      <c r="C570" s="85"/>
      <c r="D570" s="86"/>
      <c r="E570" s="85"/>
    </row>
    <row r="571">
      <c r="A571" s="85"/>
      <c r="B571" s="85"/>
      <c r="C571" s="85"/>
      <c r="D571" s="86"/>
      <c r="E571" s="85"/>
    </row>
    <row r="572">
      <c r="A572" s="85"/>
      <c r="B572" s="85"/>
      <c r="C572" s="85"/>
      <c r="D572" s="86"/>
      <c r="E572" s="85"/>
    </row>
    <row r="573">
      <c r="A573" s="85"/>
      <c r="B573" s="85"/>
      <c r="C573" s="85"/>
      <c r="D573" s="86"/>
      <c r="E573" s="85"/>
    </row>
    <row r="574">
      <c r="A574" s="85"/>
      <c r="B574" s="85"/>
      <c r="C574" s="85"/>
      <c r="D574" s="86"/>
      <c r="E574" s="85"/>
    </row>
    <row r="575">
      <c r="A575" s="85"/>
      <c r="B575" s="85"/>
      <c r="C575" s="85"/>
      <c r="D575" s="86"/>
      <c r="E575" s="85"/>
    </row>
    <row r="576">
      <c r="A576" s="85"/>
      <c r="B576" s="85"/>
      <c r="C576" s="85"/>
      <c r="D576" s="86"/>
      <c r="E576" s="85"/>
    </row>
    <row r="577">
      <c r="A577" s="85"/>
      <c r="B577" s="85"/>
      <c r="C577" s="85"/>
      <c r="D577" s="86"/>
      <c r="E577" s="85"/>
    </row>
    <row r="578">
      <c r="A578" s="85"/>
      <c r="B578" s="85"/>
      <c r="C578" s="85"/>
      <c r="D578" s="86"/>
      <c r="E578" s="85"/>
    </row>
    <row r="579">
      <c r="A579" s="85"/>
      <c r="B579" s="85"/>
      <c r="C579" s="85"/>
      <c r="D579" s="86"/>
      <c r="E579" s="85"/>
    </row>
    <row r="580">
      <c r="A580" s="85"/>
      <c r="B580" s="85"/>
      <c r="C580" s="85"/>
      <c r="D580" s="86"/>
      <c r="E580" s="85"/>
    </row>
    <row r="581">
      <c r="A581" s="85"/>
      <c r="B581" s="85"/>
      <c r="C581" s="85"/>
      <c r="D581" s="86"/>
      <c r="E581" s="85"/>
    </row>
    <row r="582">
      <c r="A582" s="85"/>
      <c r="B582" s="85"/>
      <c r="C582" s="85"/>
      <c r="D582" s="86"/>
      <c r="E582" s="85"/>
    </row>
    <row r="583">
      <c r="A583" s="85"/>
      <c r="B583" s="85"/>
      <c r="C583" s="85"/>
      <c r="D583" s="86"/>
      <c r="E583" s="85"/>
    </row>
    <row r="584">
      <c r="A584" s="85"/>
      <c r="B584" s="85"/>
      <c r="C584" s="85"/>
      <c r="D584" s="86"/>
      <c r="E584" s="85"/>
    </row>
    <row r="585">
      <c r="A585" s="85"/>
      <c r="B585" s="85"/>
      <c r="C585" s="85"/>
      <c r="D585" s="86"/>
      <c r="E585" s="85"/>
    </row>
    <row r="586">
      <c r="A586" s="85"/>
      <c r="B586" s="85"/>
      <c r="C586" s="85"/>
      <c r="D586" s="86"/>
      <c r="E586" s="85"/>
    </row>
    <row r="587">
      <c r="A587" s="85"/>
      <c r="B587" s="85"/>
      <c r="C587" s="85"/>
      <c r="D587" s="86"/>
      <c r="E587" s="85"/>
    </row>
    <row r="588">
      <c r="A588" s="85"/>
      <c r="B588" s="85"/>
      <c r="C588" s="85"/>
      <c r="D588" s="86"/>
      <c r="E588" s="85"/>
    </row>
    <row r="589">
      <c r="A589" s="85"/>
      <c r="B589" s="85"/>
      <c r="C589" s="85"/>
      <c r="D589" s="86"/>
      <c r="E589" s="85"/>
    </row>
    <row r="590">
      <c r="A590" s="85"/>
      <c r="B590" s="85"/>
      <c r="C590" s="85"/>
      <c r="D590" s="86"/>
      <c r="E590" s="85"/>
    </row>
    <row r="591">
      <c r="A591" s="85"/>
      <c r="B591" s="85"/>
      <c r="C591" s="85"/>
      <c r="D591" s="86"/>
      <c r="E591" s="85"/>
    </row>
    <row r="592">
      <c r="A592" s="85"/>
      <c r="B592" s="85"/>
      <c r="C592" s="85"/>
      <c r="D592" s="86"/>
      <c r="E592" s="85"/>
    </row>
    <row r="593">
      <c r="A593" s="85"/>
      <c r="B593" s="85"/>
      <c r="C593" s="85"/>
      <c r="D593" s="86"/>
      <c r="E593" s="85"/>
    </row>
    <row r="594">
      <c r="A594" s="85"/>
      <c r="B594" s="85"/>
      <c r="C594" s="85"/>
      <c r="D594" s="86"/>
      <c r="E594" s="85"/>
    </row>
    <row r="595">
      <c r="A595" s="85"/>
      <c r="B595" s="85"/>
      <c r="C595" s="85"/>
      <c r="D595" s="86"/>
      <c r="E595" s="85"/>
    </row>
    <row r="596">
      <c r="A596" s="85"/>
      <c r="B596" s="85"/>
      <c r="C596" s="85"/>
      <c r="D596" s="86"/>
      <c r="E596" s="85"/>
    </row>
    <row r="597">
      <c r="A597" s="85"/>
      <c r="B597" s="85"/>
      <c r="C597" s="85"/>
      <c r="D597" s="86"/>
      <c r="E597" s="85"/>
    </row>
    <row r="598">
      <c r="A598" s="85"/>
      <c r="B598" s="85"/>
      <c r="C598" s="85"/>
      <c r="D598" s="86"/>
      <c r="E598" s="85"/>
    </row>
    <row r="599">
      <c r="A599" s="85"/>
      <c r="B599" s="85"/>
      <c r="C599" s="85"/>
      <c r="D599" s="86"/>
      <c r="E599" s="85"/>
    </row>
    <row r="600">
      <c r="A600" s="85"/>
      <c r="B600" s="85"/>
      <c r="C600" s="85"/>
      <c r="D600" s="86"/>
      <c r="E600" s="85"/>
    </row>
    <row r="601">
      <c r="A601" s="85"/>
      <c r="B601" s="85"/>
      <c r="C601" s="85"/>
      <c r="D601" s="86"/>
      <c r="E601" s="85"/>
    </row>
    <row r="602">
      <c r="A602" s="85"/>
      <c r="B602" s="85"/>
      <c r="C602" s="85"/>
      <c r="D602" s="86"/>
      <c r="E602" s="85"/>
    </row>
    <row r="603">
      <c r="A603" s="85"/>
      <c r="B603" s="85"/>
      <c r="C603" s="85"/>
      <c r="D603" s="86"/>
      <c r="E603" s="85"/>
    </row>
    <row r="604">
      <c r="A604" s="85"/>
      <c r="B604" s="85"/>
      <c r="C604" s="85"/>
      <c r="D604" s="86"/>
      <c r="E604" s="85"/>
    </row>
    <row r="605">
      <c r="A605" s="85"/>
      <c r="B605" s="85"/>
      <c r="C605" s="85"/>
      <c r="D605" s="86"/>
      <c r="E605" s="85"/>
    </row>
    <row r="606">
      <c r="A606" s="85"/>
      <c r="B606" s="85"/>
      <c r="C606" s="85"/>
      <c r="D606" s="86"/>
      <c r="E606" s="85"/>
    </row>
    <row r="607">
      <c r="A607" s="85"/>
      <c r="B607" s="85"/>
      <c r="C607" s="85"/>
      <c r="D607" s="86"/>
      <c r="E607" s="85"/>
    </row>
    <row r="608">
      <c r="A608" s="85"/>
      <c r="B608" s="85"/>
      <c r="C608" s="85"/>
      <c r="D608" s="86"/>
      <c r="E608" s="85"/>
    </row>
    <row r="609">
      <c r="A609" s="85"/>
      <c r="B609" s="85"/>
      <c r="C609" s="85"/>
      <c r="D609" s="86"/>
      <c r="E609" s="85"/>
    </row>
    <row r="610">
      <c r="A610" s="85"/>
      <c r="B610" s="85"/>
      <c r="C610" s="85"/>
      <c r="D610" s="86"/>
      <c r="E610" s="85"/>
    </row>
    <row r="611">
      <c r="A611" s="85"/>
      <c r="B611" s="85"/>
      <c r="C611" s="85"/>
      <c r="D611" s="86"/>
      <c r="E611" s="85"/>
    </row>
    <row r="612">
      <c r="A612" s="85"/>
      <c r="B612" s="85"/>
      <c r="C612" s="85"/>
      <c r="D612" s="86"/>
      <c r="E612" s="85"/>
    </row>
    <row r="613">
      <c r="A613" s="85"/>
      <c r="B613" s="85"/>
      <c r="C613" s="85"/>
      <c r="D613" s="86"/>
      <c r="E613" s="85"/>
    </row>
    <row r="614">
      <c r="A614" s="85"/>
      <c r="B614" s="85"/>
      <c r="C614" s="85"/>
      <c r="D614" s="86"/>
      <c r="E614" s="85"/>
    </row>
    <row r="615">
      <c r="A615" s="85"/>
      <c r="B615" s="85"/>
      <c r="C615" s="85"/>
      <c r="D615" s="86"/>
      <c r="E615" s="85"/>
    </row>
    <row r="616">
      <c r="A616" s="85"/>
      <c r="B616" s="85"/>
      <c r="C616" s="85"/>
      <c r="D616" s="86"/>
      <c r="E616" s="85"/>
    </row>
    <row r="617">
      <c r="A617" s="85"/>
      <c r="B617" s="85"/>
      <c r="C617" s="85"/>
      <c r="D617" s="86"/>
      <c r="E617" s="85"/>
    </row>
    <row r="618">
      <c r="A618" s="85"/>
      <c r="B618" s="85"/>
      <c r="C618" s="85"/>
      <c r="D618" s="86"/>
      <c r="E618" s="85"/>
    </row>
    <row r="619">
      <c r="A619" s="85"/>
      <c r="B619" s="85"/>
      <c r="C619" s="85"/>
      <c r="D619" s="86"/>
      <c r="E619" s="85"/>
    </row>
    <row r="620">
      <c r="A620" s="85"/>
      <c r="B620" s="85"/>
      <c r="C620" s="85"/>
      <c r="D620" s="86"/>
      <c r="E620" s="85"/>
    </row>
    <row r="621">
      <c r="A621" s="85"/>
      <c r="B621" s="85"/>
      <c r="C621" s="85"/>
      <c r="D621" s="86"/>
      <c r="E621" s="85"/>
    </row>
    <row r="622">
      <c r="A622" s="85"/>
      <c r="B622" s="85"/>
      <c r="C622" s="85"/>
      <c r="D622" s="86"/>
      <c r="E622" s="85"/>
    </row>
    <row r="623">
      <c r="A623" s="85"/>
      <c r="B623" s="85"/>
      <c r="C623" s="85"/>
      <c r="D623" s="86"/>
      <c r="E623" s="85"/>
    </row>
    <row r="624">
      <c r="A624" s="85"/>
      <c r="B624" s="85"/>
      <c r="C624" s="85"/>
      <c r="D624" s="86"/>
      <c r="E624" s="85"/>
    </row>
    <row r="625">
      <c r="A625" s="85"/>
      <c r="B625" s="85"/>
      <c r="C625" s="85"/>
      <c r="D625" s="86"/>
      <c r="E625" s="85"/>
    </row>
    <row r="626">
      <c r="A626" s="85"/>
      <c r="B626" s="85"/>
      <c r="C626" s="85"/>
      <c r="D626" s="86"/>
      <c r="E626" s="85"/>
    </row>
    <row r="627">
      <c r="A627" s="85"/>
      <c r="B627" s="85"/>
      <c r="C627" s="85"/>
      <c r="D627" s="86"/>
      <c r="E627" s="85"/>
    </row>
    <row r="628">
      <c r="A628" s="85"/>
      <c r="B628" s="85"/>
      <c r="C628" s="85"/>
      <c r="D628" s="86"/>
      <c r="E628" s="85"/>
    </row>
    <row r="629">
      <c r="A629" s="85"/>
      <c r="B629" s="85"/>
      <c r="C629" s="85"/>
      <c r="D629" s="86"/>
      <c r="E629" s="85"/>
    </row>
    <row r="630">
      <c r="A630" s="85"/>
      <c r="B630" s="85"/>
      <c r="C630" s="85"/>
      <c r="D630" s="86"/>
      <c r="E630" s="85"/>
    </row>
    <row r="631">
      <c r="A631" s="85"/>
      <c r="B631" s="85"/>
      <c r="C631" s="85"/>
      <c r="D631" s="86"/>
      <c r="E631" s="85"/>
    </row>
    <row r="632">
      <c r="A632" s="85"/>
      <c r="B632" s="85"/>
      <c r="C632" s="85"/>
      <c r="D632" s="86"/>
      <c r="E632" s="85"/>
    </row>
    <row r="633">
      <c r="A633" s="85"/>
      <c r="B633" s="85"/>
      <c r="C633" s="85"/>
      <c r="D633" s="86"/>
      <c r="E633" s="85"/>
    </row>
    <row r="634">
      <c r="A634" s="85"/>
      <c r="B634" s="85"/>
      <c r="C634" s="85"/>
      <c r="D634" s="86"/>
      <c r="E634" s="85"/>
    </row>
    <row r="635">
      <c r="A635" s="85"/>
      <c r="B635" s="85"/>
      <c r="C635" s="85"/>
      <c r="D635" s="86"/>
      <c r="E635" s="85"/>
    </row>
    <row r="636">
      <c r="A636" s="85"/>
      <c r="B636" s="85"/>
      <c r="C636" s="85"/>
      <c r="D636" s="86"/>
      <c r="E636" s="85"/>
    </row>
    <row r="637">
      <c r="A637" s="85"/>
      <c r="B637" s="85"/>
      <c r="C637" s="85"/>
      <c r="D637" s="86"/>
      <c r="E637" s="85"/>
    </row>
    <row r="638">
      <c r="A638" s="85"/>
      <c r="B638" s="85"/>
      <c r="C638" s="85"/>
      <c r="D638" s="86"/>
      <c r="E638" s="85"/>
    </row>
    <row r="639">
      <c r="A639" s="85"/>
      <c r="B639" s="85"/>
      <c r="C639" s="85"/>
      <c r="D639" s="86"/>
      <c r="E639" s="85"/>
    </row>
    <row r="640">
      <c r="A640" s="85"/>
      <c r="B640" s="85"/>
      <c r="C640" s="85"/>
      <c r="D640" s="86"/>
      <c r="E640" s="85"/>
    </row>
    <row r="641">
      <c r="A641" s="85"/>
      <c r="B641" s="85"/>
      <c r="C641" s="85"/>
      <c r="D641" s="86"/>
      <c r="E641" s="85"/>
    </row>
    <row r="642">
      <c r="A642" s="85"/>
      <c r="B642" s="85"/>
      <c r="C642" s="85"/>
      <c r="D642" s="86"/>
      <c r="E642" s="85"/>
    </row>
    <row r="643">
      <c r="A643" s="85"/>
      <c r="B643" s="85"/>
      <c r="C643" s="85"/>
      <c r="D643" s="86"/>
      <c r="E643" s="85"/>
    </row>
    <row r="644">
      <c r="A644" s="85"/>
      <c r="B644" s="85"/>
      <c r="C644" s="85"/>
      <c r="D644" s="86"/>
      <c r="E644" s="85"/>
    </row>
    <row r="645">
      <c r="A645" s="85"/>
      <c r="B645" s="85"/>
      <c r="C645" s="85"/>
      <c r="D645" s="86"/>
      <c r="E645" s="85"/>
    </row>
    <row r="646">
      <c r="A646" s="85"/>
      <c r="B646" s="85"/>
      <c r="C646" s="85"/>
      <c r="D646" s="86"/>
      <c r="E646" s="85"/>
    </row>
    <row r="647">
      <c r="A647" s="85"/>
      <c r="B647" s="85"/>
      <c r="C647" s="85"/>
      <c r="D647" s="86"/>
      <c r="E647" s="85"/>
    </row>
    <row r="648">
      <c r="A648" s="85"/>
      <c r="B648" s="85"/>
      <c r="C648" s="85"/>
      <c r="D648" s="86"/>
      <c r="E648" s="85"/>
    </row>
    <row r="649">
      <c r="A649" s="85"/>
      <c r="B649" s="85"/>
      <c r="C649" s="85"/>
      <c r="D649" s="86"/>
      <c r="E649" s="85"/>
    </row>
    <row r="650">
      <c r="A650" s="85"/>
      <c r="B650" s="85"/>
      <c r="C650" s="85"/>
      <c r="D650" s="86"/>
      <c r="E650" s="85"/>
    </row>
    <row r="651">
      <c r="A651" s="85"/>
      <c r="B651" s="85"/>
      <c r="C651" s="85"/>
      <c r="D651" s="86"/>
      <c r="E651" s="85"/>
    </row>
    <row r="652">
      <c r="A652" s="85"/>
      <c r="B652" s="85"/>
      <c r="C652" s="85"/>
      <c r="D652" s="86"/>
      <c r="E652" s="85"/>
    </row>
    <row r="653">
      <c r="A653" s="85"/>
      <c r="B653" s="85"/>
      <c r="C653" s="85"/>
      <c r="D653" s="86"/>
      <c r="E653" s="85"/>
    </row>
    <row r="654">
      <c r="A654" s="85"/>
      <c r="B654" s="85"/>
      <c r="C654" s="85"/>
      <c r="D654" s="86"/>
      <c r="E654" s="85"/>
    </row>
    <row r="655">
      <c r="A655" s="85"/>
      <c r="B655" s="85"/>
      <c r="C655" s="85"/>
      <c r="D655" s="86"/>
      <c r="E655" s="85"/>
    </row>
    <row r="656">
      <c r="A656" s="85"/>
      <c r="B656" s="85"/>
      <c r="C656" s="85"/>
      <c r="D656" s="86"/>
      <c r="E656" s="85"/>
    </row>
    <row r="657">
      <c r="A657" s="85"/>
      <c r="B657" s="85"/>
      <c r="C657" s="85"/>
      <c r="D657" s="86"/>
      <c r="E657" s="85"/>
    </row>
    <row r="658">
      <c r="A658" s="85"/>
      <c r="B658" s="85"/>
      <c r="C658" s="85"/>
      <c r="D658" s="86"/>
      <c r="E658" s="85"/>
    </row>
    <row r="659">
      <c r="A659" s="85"/>
      <c r="B659" s="85"/>
      <c r="C659" s="85"/>
      <c r="D659" s="86"/>
      <c r="E659" s="85"/>
    </row>
    <row r="660">
      <c r="A660" s="85"/>
      <c r="B660" s="85"/>
      <c r="C660" s="85"/>
      <c r="D660" s="86"/>
      <c r="E660" s="85"/>
    </row>
    <row r="661">
      <c r="A661" s="85"/>
      <c r="B661" s="85"/>
      <c r="C661" s="85"/>
      <c r="D661" s="86"/>
      <c r="E661" s="85"/>
    </row>
    <row r="662">
      <c r="A662" s="85"/>
      <c r="B662" s="85"/>
      <c r="C662" s="85"/>
      <c r="D662" s="86"/>
      <c r="E662" s="85"/>
    </row>
    <row r="663">
      <c r="A663" s="85"/>
      <c r="B663" s="85"/>
      <c r="C663" s="85"/>
      <c r="D663" s="86"/>
      <c r="E663" s="85"/>
    </row>
    <row r="664">
      <c r="A664" s="85"/>
      <c r="B664" s="85"/>
      <c r="C664" s="85"/>
      <c r="D664" s="86"/>
      <c r="E664" s="85"/>
    </row>
    <row r="665">
      <c r="A665" s="85"/>
      <c r="B665" s="85"/>
      <c r="C665" s="85"/>
      <c r="D665" s="86"/>
      <c r="E665" s="85"/>
    </row>
    <row r="666">
      <c r="A666" s="85"/>
      <c r="B666" s="85"/>
      <c r="C666" s="85"/>
      <c r="D666" s="86"/>
      <c r="E666" s="85"/>
    </row>
    <row r="667">
      <c r="A667" s="85"/>
      <c r="B667" s="85"/>
      <c r="C667" s="85"/>
      <c r="D667" s="86"/>
      <c r="E667" s="85"/>
    </row>
    <row r="668">
      <c r="A668" s="85"/>
      <c r="B668" s="85"/>
      <c r="C668" s="85"/>
      <c r="D668" s="86"/>
      <c r="E668" s="85"/>
    </row>
    <row r="669">
      <c r="A669" s="85"/>
      <c r="B669" s="85"/>
      <c r="C669" s="85"/>
      <c r="D669" s="86"/>
      <c r="E669" s="85"/>
    </row>
    <row r="670">
      <c r="A670" s="85"/>
      <c r="B670" s="85"/>
      <c r="C670" s="85"/>
      <c r="D670" s="86"/>
      <c r="E670" s="85"/>
    </row>
    <row r="671">
      <c r="A671" s="85"/>
      <c r="B671" s="85"/>
      <c r="C671" s="85"/>
      <c r="D671" s="86"/>
      <c r="E671" s="85"/>
    </row>
    <row r="672">
      <c r="A672" s="85"/>
      <c r="B672" s="85"/>
      <c r="C672" s="85"/>
      <c r="D672" s="86"/>
      <c r="E672" s="85"/>
    </row>
    <row r="673">
      <c r="A673" s="85"/>
      <c r="B673" s="85"/>
      <c r="C673" s="85"/>
      <c r="D673" s="86"/>
      <c r="E673" s="85"/>
    </row>
    <row r="674">
      <c r="A674" s="85"/>
      <c r="B674" s="85"/>
      <c r="C674" s="85"/>
      <c r="D674" s="86"/>
      <c r="E674" s="85"/>
    </row>
    <row r="675">
      <c r="A675" s="85"/>
      <c r="B675" s="85"/>
      <c r="C675" s="85"/>
      <c r="D675" s="86"/>
      <c r="E675" s="85"/>
    </row>
    <row r="676">
      <c r="A676" s="85"/>
      <c r="B676" s="85"/>
      <c r="C676" s="85"/>
      <c r="D676" s="86"/>
      <c r="E676" s="85"/>
    </row>
    <row r="677">
      <c r="A677" s="85"/>
      <c r="B677" s="85"/>
      <c r="C677" s="85"/>
      <c r="D677" s="86"/>
      <c r="E677" s="85"/>
    </row>
    <row r="678">
      <c r="A678" s="85"/>
      <c r="B678" s="85"/>
      <c r="C678" s="85"/>
      <c r="D678" s="86"/>
      <c r="E678" s="85"/>
    </row>
    <row r="679">
      <c r="A679" s="85"/>
      <c r="B679" s="85"/>
      <c r="C679" s="85"/>
      <c r="D679" s="86"/>
      <c r="E679" s="85"/>
    </row>
    <row r="680">
      <c r="A680" s="85"/>
      <c r="B680" s="85"/>
      <c r="C680" s="85"/>
      <c r="D680" s="86"/>
      <c r="E680" s="85"/>
    </row>
    <row r="681">
      <c r="A681" s="85"/>
      <c r="B681" s="85"/>
      <c r="C681" s="85"/>
      <c r="D681" s="86"/>
      <c r="E681" s="85"/>
    </row>
    <row r="682">
      <c r="A682" s="85"/>
      <c r="B682" s="85"/>
      <c r="C682" s="85"/>
      <c r="D682" s="86"/>
      <c r="E682" s="85"/>
    </row>
    <row r="683">
      <c r="A683" s="85"/>
      <c r="B683" s="85"/>
      <c r="C683" s="85"/>
      <c r="D683" s="86"/>
      <c r="E683" s="85"/>
    </row>
    <row r="684">
      <c r="A684" s="85"/>
      <c r="B684" s="85"/>
      <c r="C684" s="85"/>
      <c r="D684" s="86"/>
      <c r="E684" s="85"/>
    </row>
    <row r="685">
      <c r="A685" s="85"/>
      <c r="B685" s="85"/>
      <c r="C685" s="85"/>
      <c r="D685" s="86"/>
      <c r="E685" s="85"/>
    </row>
    <row r="686">
      <c r="A686" s="85"/>
      <c r="B686" s="85"/>
      <c r="C686" s="85"/>
      <c r="D686" s="86"/>
      <c r="E686" s="85"/>
    </row>
    <row r="687">
      <c r="A687" s="85"/>
      <c r="B687" s="85"/>
      <c r="C687" s="85"/>
      <c r="D687" s="86"/>
      <c r="E687" s="85"/>
    </row>
    <row r="688">
      <c r="A688" s="85"/>
      <c r="B688" s="85"/>
      <c r="C688" s="85"/>
      <c r="D688" s="86"/>
      <c r="E688" s="85"/>
    </row>
    <row r="689">
      <c r="A689" s="85"/>
      <c r="B689" s="85"/>
      <c r="C689" s="85"/>
      <c r="D689" s="86"/>
      <c r="E689" s="85"/>
    </row>
    <row r="690">
      <c r="A690" s="85"/>
      <c r="B690" s="85"/>
      <c r="C690" s="85"/>
      <c r="D690" s="86"/>
      <c r="E690" s="85"/>
    </row>
    <row r="691">
      <c r="A691" s="85"/>
      <c r="B691" s="85"/>
      <c r="C691" s="85"/>
      <c r="D691" s="86"/>
      <c r="E691" s="85"/>
    </row>
    <row r="692">
      <c r="A692" s="85"/>
      <c r="B692" s="85"/>
      <c r="C692" s="85"/>
      <c r="D692" s="86"/>
      <c r="E692" s="85"/>
    </row>
    <row r="693">
      <c r="A693" s="85"/>
      <c r="B693" s="85"/>
      <c r="C693" s="85"/>
      <c r="D693" s="86"/>
      <c r="E693" s="85"/>
    </row>
    <row r="694">
      <c r="A694" s="85"/>
      <c r="B694" s="85"/>
      <c r="C694" s="85"/>
      <c r="D694" s="86"/>
      <c r="E694" s="85"/>
    </row>
    <row r="695">
      <c r="A695" s="85"/>
      <c r="B695" s="85"/>
      <c r="C695" s="85"/>
      <c r="D695" s="86"/>
      <c r="E695" s="85"/>
    </row>
    <row r="696">
      <c r="A696" s="85"/>
      <c r="B696" s="85"/>
      <c r="C696" s="85"/>
      <c r="D696" s="86"/>
      <c r="E696" s="85"/>
    </row>
    <row r="697">
      <c r="A697" s="85"/>
      <c r="B697" s="85"/>
      <c r="C697" s="85"/>
      <c r="D697" s="86"/>
      <c r="E697" s="85"/>
    </row>
    <row r="698">
      <c r="A698" s="85"/>
      <c r="B698" s="85"/>
      <c r="C698" s="85"/>
      <c r="D698" s="86"/>
      <c r="E698" s="85"/>
    </row>
    <row r="699">
      <c r="A699" s="85"/>
      <c r="B699" s="85"/>
      <c r="C699" s="85"/>
      <c r="D699" s="86"/>
      <c r="E699" s="85"/>
    </row>
    <row r="700">
      <c r="A700" s="85"/>
      <c r="B700" s="85"/>
      <c r="C700" s="85"/>
      <c r="D700" s="86"/>
      <c r="E700" s="85"/>
    </row>
    <row r="701">
      <c r="A701" s="85"/>
      <c r="B701" s="85"/>
      <c r="C701" s="85"/>
      <c r="D701" s="86"/>
      <c r="E701" s="85"/>
    </row>
    <row r="702">
      <c r="A702" s="85"/>
      <c r="B702" s="85"/>
      <c r="C702" s="85"/>
      <c r="D702" s="86"/>
      <c r="E702" s="85"/>
    </row>
    <row r="703">
      <c r="A703" s="85"/>
      <c r="B703" s="85"/>
      <c r="C703" s="85"/>
      <c r="D703" s="86"/>
      <c r="E703" s="85"/>
    </row>
    <row r="704">
      <c r="A704" s="85"/>
      <c r="B704" s="85"/>
      <c r="C704" s="85"/>
      <c r="D704" s="86"/>
      <c r="E704" s="85"/>
    </row>
    <row r="705">
      <c r="A705" s="85"/>
      <c r="B705" s="85"/>
      <c r="C705" s="85"/>
      <c r="D705" s="86"/>
      <c r="E705" s="85"/>
    </row>
    <row r="706">
      <c r="A706" s="85"/>
      <c r="B706" s="85"/>
      <c r="C706" s="85"/>
      <c r="D706" s="86"/>
      <c r="E706" s="85"/>
    </row>
    <row r="707">
      <c r="A707" s="85"/>
      <c r="B707" s="85"/>
      <c r="C707" s="85"/>
      <c r="D707" s="86"/>
      <c r="E707" s="85"/>
    </row>
    <row r="708">
      <c r="A708" s="85"/>
      <c r="B708" s="85"/>
      <c r="C708" s="85"/>
      <c r="D708" s="86"/>
      <c r="E708" s="85"/>
    </row>
    <row r="709">
      <c r="A709" s="85"/>
      <c r="B709" s="85"/>
      <c r="C709" s="85"/>
      <c r="D709" s="86"/>
      <c r="E709" s="85"/>
    </row>
    <row r="710">
      <c r="A710" s="85"/>
      <c r="B710" s="85"/>
      <c r="C710" s="85"/>
      <c r="D710" s="86"/>
      <c r="E710" s="85"/>
    </row>
    <row r="711">
      <c r="A711" s="85"/>
      <c r="B711" s="85"/>
      <c r="C711" s="85"/>
      <c r="D711" s="86"/>
      <c r="E711" s="85"/>
    </row>
    <row r="712">
      <c r="A712" s="85"/>
      <c r="B712" s="85"/>
      <c r="C712" s="85"/>
      <c r="D712" s="86"/>
      <c r="E712" s="85"/>
    </row>
    <row r="713">
      <c r="A713" s="85"/>
      <c r="B713" s="85"/>
      <c r="C713" s="85"/>
      <c r="D713" s="86"/>
      <c r="E713" s="85"/>
    </row>
    <row r="714">
      <c r="A714" s="85"/>
      <c r="B714" s="85"/>
      <c r="C714" s="85"/>
      <c r="D714" s="86"/>
      <c r="E714" s="85"/>
    </row>
    <row r="715">
      <c r="A715" s="85"/>
      <c r="B715" s="85"/>
      <c r="C715" s="85"/>
      <c r="D715" s="86"/>
      <c r="E715" s="85"/>
    </row>
    <row r="716">
      <c r="A716" s="85"/>
      <c r="B716" s="85"/>
      <c r="C716" s="85"/>
      <c r="D716" s="86"/>
      <c r="E716" s="85"/>
    </row>
    <row r="717">
      <c r="A717" s="85"/>
      <c r="B717" s="85"/>
      <c r="C717" s="85"/>
      <c r="D717" s="86"/>
      <c r="E717" s="85"/>
    </row>
    <row r="718">
      <c r="A718" s="85"/>
      <c r="B718" s="85"/>
      <c r="C718" s="85"/>
      <c r="D718" s="86"/>
      <c r="E718" s="85"/>
    </row>
    <row r="719">
      <c r="A719" s="85"/>
      <c r="B719" s="85"/>
      <c r="C719" s="85"/>
      <c r="D719" s="86"/>
      <c r="E719" s="85"/>
    </row>
    <row r="720">
      <c r="A720" s="85"/>
      <c r="B720" s="85"/>
      <c r="C720" s="85"/>
      <c r="D720" s="86"/>
      <c r="E720" s="85"/>
    </row>
    <row r="721">
      <c r="A721" s="85"/>
      <c r="B721" s="85"/>
      <c r="C721" s="85"/>
      <c r="D721" s="86"/>
      <c r="E721" s="85"/>
    </row>
    <row r="722">
      <c r="A722" s="85"/>
      <c r="B722" s="85"/>
      <c r="C722" s="85"/>
      <c r="D722" s="86"/>
      <c r="E722" s="85"/>
    </row>
    <row r="723">
      <c r="A723" s="85"/>
      <c r="B723" s="85"/>
      <c r="C723" s="85"/>
      <c r="D723" s="86"/>
      <c r="E723" s="85"/>
    </row>
    <row r="724">
      <c r="A724" s="85"/>
      <c r="B724" s="85"/>
      <c r="C724" s="85"/>
      <c r="D724" s="86"/>
      <c r="E724" s="85"/>
    </row>
    <row r="725">
      <c r="A725" s="85"/>
      <c r="B725" s="85"/>
      <c r="C725" s="85"/>
      <c r="D725" s="86"/>
      <c r="E725" s="85"/>
    </row>
    <row r="726">
      <c r="A726" s="85"/>
      <c r="B726" s="85"/>
      <c r="C726" s="85"/>
      <c r="D726" s="86"/>
      <c r="E726" s="85"/>
    </row>
    <row r="727">
      <c r="A727" s="85"/>
      <c r="B727" s="85"/>
      <c r="C727" s="85"/>
      <c r="D727" s="86"/>
      <c r="E727" s="85"/>
    </row>
    <row r="728">
      <c r="A728" s="85"/>
      <c r="B728" s="85"/>
      <c r="C728" s="85"/>
      <c r="D728" s="86"/>
      <c r="E728" s="85"/>
    </row>
    <row r="729">
      <c r="A729" s="85"/>
      <c r="B729" s="85"/>
      <c r="C729" s="85"/>
      <c r="D729" s="86"/>
      <c r="E729" s="85"/>
    </row>
    <row r="730">
      <c r="A730" s="85"/>
      <c r="B730" s="85"/>
      <c r="C730" s="85"/>
      <c r="D730" s="86"/>
      <c r="E730" s="85"/>
    </row>
    <row r="731">
      <c r="A731" s="85"/>
      <c r="B731" s="85"/>
      <c r="C731" s="85"/>
      <c r="D731" s="86"/>
      <c r="E731" s="85"/>
    </row>
    <row r="732">
      <c r="A732" s="85"/>
      <c r="B732" s="85"/>
      <c r="C732" s="85"/>
      <c r="D732" s="86"/>
      <c r="E732" s="85"/>
    </row>
    <row r="733">
      <c r="A733" s="85"/>
      <c r="B733" s="85"/>
      <c r="C733" s="85"/>
      <c r="D733" s="86"/>
      <c r="E733" s="85"/>
    </row>
    <row r="734">
      <c r="A734" s="85"/>
      <c r="B734" s="85"/>
      <c r="C734" s="85"/>
      <c r="D734" s="86"/>
      <c r="E734" s="85"/>
    </row>
    <row r="735">
      <c r="A735" s="85"/>
      <c r="B735" s="85"/>
      <c r="C735" s="85"/>
      <c r="D735" s="86"/>
      <c r="E735" s="85"/>
    </row>
    <row r="736">
      <c r="A736" s="85"/>
      <c r="B736" s="85"/>
      <c r="C736" s="85"/>
      <c r="D736" s="86"/>
      <c r="E736" s="85"/>
    </row>
    <row r="737">
      <c r="A737" s="85"/>
      <c r="B737" s="85"/>
      <c r="C737" s="85"/>
      <c r="D737" s="86"/>
      <c r="E737" s="85"/>
    </row>
    <row r="738">
      <c r="A738" s="85"/>
      <c r="B738" s="85"/>
      <c r="C738" s="85"/>
      <c r="D738" s="86"/>
      <c r="E738" s="85"/>
    </row>
    <row r="739">
      <c r="A739" s="85"/>
      <c r="B739" s="85"/>
      <c r="C739" s="85"/>
      <c r="D739" s="86"/>
      <c r="E739" s="85"/>
    </row>
    <row r="740">
      <c r="A740" s="85"/>
      <c r="B740" s="85"/>
      <c r="C740" s="85"/>
      <c r="D740" s="86"/>
      <c r="E740" s="85"/>
    </row>
    <row r="741">
      <c r="A741" s="85"/>
      <c r="B741" s="85"/>
      <c r="C741" s="85"/>
      <c r="D741" s="86"/>
      <c r="E741" s="85"/>
    </row>
    <row r="742">
      <c r="A742" s="85"/>
      <c r="B742" s="85"/>
      <c r="C742" s="85"/>
      <c r="D742" s="86"/>
      <c r="E742" s="85"/>
    </row>
    <row r="743">
      <c r="A743" s="85"/>
      <c r="B743" s="85"/>
      <c r="C743" s="85"/>
      <c r="D743" s="86"/>
      <c r="E743" s="85"/>
    </row>
    <row r="744">
      <c r="A744" s="85"/>
      <c r="B744" s="85"/>
      <c r="C744" s="85"/>
      <c r="D744" s="86"/>
      <c r="E744" s="85"/>
    </row>
    <row r="745">
      <c r="A745" s="85"/>
      <c r="B745" s="85"/>
      <c r="C745" s="85"/>
      <c r="D745" s="86"/>
      <c r="E745" s="85"/>
    </row>
    <row r="746">
      <c r="A746" s="85"/>
      <c r="B746" s="85"/>
      <c r="C746" s="85"/>
      <c r="D746" s="86"/>
      <c r="E746" s="85"/>
    </row>
    <row r="747">
      <c r="A747" s="85"/>
      <c r="B747" s="85"/>
      <c r="C747" s="85"/>
      <c r="D747" s="86"/>
      <c r="E747" s="85"/>
    </row>
    <row r="748">
      <c r="A748" s="85"/>
      <c r="B748" s="85"/>
      <c r="C748" s="85"/>
      <c r="D748" s="86"/>
      <c r="E748" s="85"/>
    </row>
    <row r="749">
      <c r="A749" s="85"/>
      <c r="B749" s="85"/>
      <c r="C749" s="85"/>
      <c r="D749" s="86"/>
      <c r="E749" s="85"/>
    </row>
    <row r="750">
      <c r="A750" s="85"/>
      <c r="B750" s="85"/>
      <c r="C750" s="85"/>
      <c r="D750" s="86"/>
      <c r="E750" s="85"/>
    </row>
    <row r="751">
      <c r="A751" s="85"/>
      <c r="B751" s="85"/>
      <c r="C751" s="85"/>
      <c r="D751" s="86"/>
      <c r="E751" s="85"/>
    </row>
    <row r="752">
      <c r="A752" s="85"/>
      <c r="B752" s="85"/>
      <c r="C752" s="85"/>
      <c r="D752" s="86"/>
      <c r="E752" s="85"/>
    </row>
    <row r="753">
      <c r="A753" s="85"/>
      <c r="B753" s="85"/>
      <c r="C753" s="85"/>
      <c r="D753" s="86"/>
      <c r="E753" s="85"/>
    </row>
    <row r="754">
      <c r="A754" s="85"/>
      <c r="B754" s="85"/>
      <c r="C754" s="85"/>
      <c r="D754" s="86"/>
      <c r="E754" s="85"/>
    </row>
    <row r="755">
      <c r="A755" s="85"/>
      <c r="B755" s="85"/>
      <c r="C755" s="85"/>
      <c r="D755" s="86"/>
      <c r="E755" s="85"/>
    </row>
    <row r="756">
      <c r="A756" s="85"/>
      <c r="B756" s="85"/>
      <c r="C756" s="85"/>
      <c r="D756" s="86"/>
      <c r="E756" s="85"/>
    </row>
    <row r="757">
      <c r="A757" s="85"/>
      <c r="B757" s="85"/>
      <c r="C757" s="85"/>
      <c r="D757" s="86"/>
      <c r="E757" s="85"/>
    </row>
    <row r="758">
      <c r="A758" s="85"/>
      <c r="B758" s="85"/>
      <c r="C758" s="85"/>
      <c r="D758" s="86"/>
      <c r="E758" s="85"/>
    </row>
    <row r="759">
      <c r="A759" s="85"/>
      <c r="B759" s="85"/>
      <c r="C759" s="85"/>
      <c r="D759" s="86"/>
      <c r="E759" s="85"/>
    </row>
    <row r="760">
      <c r="A760" s="85"/>
      <c r="B760" s="85"/>
      <c r="C760" s="85"/>
      <c r="D760" s="86"/>
      <c r="E760" s="85"/>
    </row>
    <row r="761">
      <c r="A761" s="85"/>
      <c r="B761" s="85"/>
      <c r="C761" s="85"/>
      <c r="D761" s="86"/>
      <c r="E761" s="85"/>
    </row>
    <row r="762">
      <c r="A762" s="85"/>
      <c r="B762" s="85"/>
      <c r="C762" s="85"/>
      <c r="D762" s="86"/>
      <c r="E762" s="85"/>
    </row>
    <row r="763">
      <c r="A763" s="85"/>
      <c r="B763" s="85"/>
      <c r="C763" s="85"/>
      <c r="D763" s="86"/>
      <c r="E763" s="85"/>
    </row>
    <row r="764">
      <c r="A764" s="85"/>
      <c r="B764" s="85"/>
      <c r="C764" s="85"/>
      <c r="D764" s="86"/>
      <c r="E764" s="85"/>
    </row>
    <row r="765">
      <c r="A765" s="85"/>
      <c r="B765" s="85"/>
      <c r="C765" s="85"/>
      <c r="D765" s="86"/>
      <c r="E765" s="85"/>
    </row>
    <row r="766">
      <c r="A766" s="85"/>
      <c r="B766" s="85"/>
      <c r="C766" s="85"/>
      <c r="D766" s="86"/>
      <c r="E766" s="85"/>
    </row>
    <row r="767">
      <c r="A767" s="85"/>
      <c r="B767" s="85"/>
      <c r="C767" s="85"/>
      <c r="D767" s="86"/>
      <c r="E767" s="85"/>
    </row>
    <row r="768">
      <c r="A768" s="85"/>
      <c r="B768" s="85"/>
      <c r="C768" s="85"/>
      <c r="D768" s="86"/>
      <c r="E768" s="85"/>
    </row>
    <row r="769">
      <c r="A769" s="85"/>
      <c r="B769" s="85"/>
      <c r="C769" s="85"/>
      <c r="D769" s="86"/>
      <c r="E769" s="85"/>
    </row>
    <row r="770">
      <c r="A770" s="85"/>
      <c r="B770" s="85"/>
      <c r="C770" s="85"/>
      <c r="D770" s="86"/>
      <c r="E770" s="85"/>
    </row>
    <row r="771">
      <c r="A771" s="85"/>
      <c r="B771" s="85"/>
      <c r="C771" s="85"/>
      <c r="D771" s="86"/>
      <c r="E771" s="85"/>
    </row>
    <row r="772">
      <c r="A772" s="85"/>
      <c r="B772" s="85"/>
      <c r="C772" s="85"/>
      <c r="D772" s="86"/>
      <c r="E772" s="85"/>
    </row>
    <row r="773">
      <c r="A773" s="85"/>
      <c r="B773" s="85"/>
      <c r="C773" s="85"/>
      <c r="D773" s="86"/>
      <c r="E773" s="85"/>
    </row>
    <row r="774">
      <c r="A774" s="85"/>
      <c r="B774" s="85"/>
      <c r="C774" s="85"/>
      <c r="D774" s="86"/>
      <c r="E774" s="85"/>
    </row>
    <row r="775">
      <c r="A775" s="85"/>
      <c r="B775" s="85"/>
      <c r="C775" s="85"/>
      <c r="D775" s="86"/>
      <c r="E775" s="85"/>
    </row>
    <row r="776">
      <c r="A776" s="85"/>
      <c r="B776" s="85"/>
      <c r="C776" s="85"/>
      <c r="D776" s="86"/>
      <c r="E776" s="85"/>
    </row>
    <row r="777">
      <c r="A777" s="85"/>
      <c r="B777" s="85"/>
      <c r="C777" s="85"/>
      <c r="D777" s="86"/>
      <c r="E777" s="85"/>
    </row>
    <row r="778">
      <c r="A778" s="85"/>
      <c r="B778" s="85"/>
      <c r="C778" s="85"/>
      <c r="D778" s="86"/>
      <c r="E778" s="85"/>
    </row>
    <row r="779">
      <c r="A779" s="85"/>
      <c r="B779" s="85"/>
      <c r="C779" s="85"/>
      <c r="D779" s="86"/>
      <c r="E779" s="85"/>
    </row>
    <row r="780">
      <c r="A780" s="85"/>
      <c r="B780" s="85"/>
      <c r="C780" s="85"/>
      <c r="D780" s="86"/>
      <c r="E780" s="85"/>
    </row>
    <row r="781">
      <c r="A781" s="85"/>
      <c r="B781" s="85"/>
      <c r="C781" s="85"/>
      <c r="D781" s="86"/>
      <c r="E781" s="85"/>
    </row>
    <row r="782">
      <c r="A782" s="85"/>
      <c r="B782" s="85"/>
      <c r="C782" s="85"/>
      <c r="D782" s="86"/>
      <c r="E782" s="85"/>
    </row>
    <row r="783">
      <c r="A783" s="85"/>
      <c r="B783" s="85"/>
      <c r="C783" s="85"/>
      <c r="D783" s="86"/>
      <c r="E783" s="85"/>
    </row>
    <row r="784">
      <c r="A784" s="85"/>
      <c r="B784" s="85"/>
      <c r="C784" s="85"/>
      <c r="D784" s="86"/>
      <c r="E784" s="85"/>
    </row>
    <row r="785">
      <c r="A785" s="85"/>
      <c r="B785" s="85"/>
      <c r="C785" s="85"/>
      <c r="D785" s="86"/>
      <c r="E785" s="85"/>
    </row>
    <row r="786">
      <c r="A786" s="85"/>
      <c r="B786" s="85"/>
      <c r="C786" s="85"/>
      <c r="D786" s="86"/>
      <c r="E786" s="85"/>
    </row>
    <row r="787">
      <c r="A787" s="85"/>
      <c r="B787" s="85"/>
      <c r="C787" s="85"/>
      <c r="D787" s="86"/>
      <c r="E787" s="85"/>
    </row>
    <row r="788">
      <c r="A788" s="85"/>
      <c r="B788" s="85"/>
      <c r="C788" s="85"/>
      <c r="D788" s="86"/>
      <c r="E788" s="85"/>
    </row>
    <row r="789">
      <c r="A789" s="85"/>
      <c r="B789" s="85"/>
      <c r="C789" s="85"/>
      <c r="D789" s="86"/>
      <c r="E789" s="85"/>
    </row>
    <row r="790">
      <c r="A790" s="85"/>
      <c r="B790" s="85"/>
      <c r="C790" s="85"/>
      <c r="D790" s="86"/>
      <c r="E790" s="85"/>
    </row>
    <row r="791">
      <c r="A791" s="85"/>
      <c r="B791" s="85"/>
      <c r="C791" s="85"/>
      <c r="D791" s="86"/>
      <c r="E791" s="85"/>
    </row>
    <row r="792">
      <c r="A792" s="85"/>
      <c r="B792" s="85"/>
      <c r="C792" s="85"/>
      <c r="D792" s="86"/>
      <c r="E792" s="85"/>
    </row>
    <row r="793">
      <c r="A793" s="85"/>
      <c r="B793" s="85"/>
      <c r="C793" s="85"/>
      <c r="D793" s="86"/>
      <c r="E793" s="85"/>
    </row>
    <row r="794">
      <c r="A794" s="85"/>
      <c r="B794" s="85"/>
      <c r="C794" s="85"/>
      <c r="D794" s="86"/>
      <c r="E794" s="85"/>
    </row>
    <row r="795">
      <c r="A795" s="85"/>
      <c r="B795" s="85"/>
      <c r="C795" s="85"/>
      <c r="D795" s="86"/>
      <c r="E795" s="85"/>
    </row>
    <row r="796">
      <c r="A796" s="85"/>
      <c r="B796" s="85"/>
      <c r="C796" s="85"/>
      <c r="D796" s="86"/>
      <c r="E796" s="85"/>
    </row>
    <row r="797">
      <c r="A797" s="85"/>
      <c r="B797" s="85"/>
      <c r="C797" s="85"/>
      <c r="D797" s="86"/>
      <c r="E797" s="85"/>
    </row>
    <row r="798">
      <c r="A798" s="85"/>
      <c r="B798" s="85"/>
      <c r="C798" s="85"/>
      <c r="D798" s="86"/>
      <c r="E798" s="85"/>
    </row>
    <row r="799">
      <c r="A799" s="85"/>
      <c r="B799" s="85"/>
      <c r="C799" s="85"/>
      <c r="D799" s="86"/>
      <c r="E799" s="85"/>
    </row>
    <row r="800">
      <c r="A800" s="85"/>
      <c r="B800" s="85"/>
      <c r="C800" s="85"/>
      <c r="D800" s="86"/>
      <c r="E800" s="85"/>
    </row>
    <row r="801">
      <c r="A801" s="85"/>
      <c r="B801" s="85"/>
      <c r="C801" s="85"/>
      <c r="D801" s="86"/>
      <c r="E801" s="85"/>
    </row>
    <row r="802">
      <c r="A802" s="85"/>
      <c r="B802" s="85"/>
      <c r="C802" s="85"/>
      <c r="D802" s="86"/>
      <c r="E802" s="85"/>
    </row>
    <row r="803">
      <c r="A803" s="85"/>
      <c r="B803" s="85"/>
      <c r="C803" s="85"/>
      <c r="D803" s="86"/>
      <c r="E803" s="85"/>
    </row>
    <row r="804">
      <c r="A804" s="85"/>
      <c r="B804" s="85"/>
      <c r="C804" s="85"/>
      <c r="D804" s="86"/>
      <c r="E804" s="85"/>
    </row>
    <row r="805">
      <c r="A805" s="85"/>
      <c r="B805" s="85"/>
      <c r="C805" s="85"/>
      <c r="D805" s="86"/>
      <c r="E805" s="85"/>
    </row>
    <row r="806">
      <c r="A806" s="85"/>
      <c r="B806" s="85"/>
      <c r="C806" s="85"/>
      <c r="D806" s="86"/>
      <c r="E806" s="85"/>
    </row>
    <row r="807">
      <c r="A807" s="85"/>
      <c r="B807" s="85"/>
      <c r="C807" s="85"/>
      <c r="D807" s="86"/>
      <c r="E807" s="85"/>
    </row>
    <row r="808">
      <c r="A808" s="85"/>
      <c r="B808" s="85"/>
      <c r="C808" s="85"/>
      <c r="D808" s="86"/>
      <c r="E808" s="85"/>
    </row>
    <row r="809">
      <c r="A809" s="85"/>
      <c r="B809" s="85"/>
      <c r="C809" s="85"/>
      <c r="D809" s="86"/>
      <c r="E809" s="85"/>
    </row>
    <row r="810">
      <c r="A810" s="85"/>
      <c r="B810" s="85"/>
      <c r="C810" s="85"/>
      <c r="D810" s="86"/>
      <c r="E810" s="85"/>
    </row>
    <row r="811">
      <c r="A811" s="85"/>
      <c r="B811" s="85"/>
      <c r="C811" s="85"/>
      <c r="D811" s="86"/>
      <c r="E811" s="85"/>
    </row>
    <row r="812">
      <c r="A812" s="85"/>
      <c r="B812" s="85"/>
      <c r="C812" s="85"/>
      <c r="D812" s="86"/>
      <c r="E812" s="85"/>
    </row>
    <row r="813">
      <c r="A813" s="85"/>
      <c r="B813" s="85"/>
      <c r="C813" s="85"/>
      <c r="D813" s="86"/>
      <c r="E813" s="85"/>
    </row>
    <row r="814">
      <c r="A814" s="85"/>
      <c r="B814" s="85"/>
      <c r="C814" s="85"/>
      <c r="D814" s="86"/>
      <c r="E814" s="85"/>
    </row>
    <row r="815">
      <c r="A815" s="85"/>
      <c r="B815" s="85"/>
      <c r="C815" s="85"/>
      <c r="D815" s="86"/>
      <c r="E815" s="85"/>
    </row>
    <row r="816">
      <c r="A816" s="85"/>
      <c r="B816" s="85"/>
      <c r="C816" s="85"/>
      <c r="D816" s="86"/>
      <c r="E816" s="85"/>
    </row>
    <row r="817">
      <c r="A817" s="85"/>
      <c r="B817" s="85"/>
      <c r="C817" s="85"/>
      <c r="D817" s="86"/>
      <c r="E817" s="85"/>
    </row>
    <row r="818">
      <c r="A818" s="85"/>
      <c r="B818" s="85"/>
      <c r="C818" s="85"/>
      <c r="D818" s="86"/>
      <c r="E818" s="85"/>
    </row>
    <row r="819">
      <c r="A819" s="85"/>
      <c r="B819" s="85"/>
      <c r="C819" s="85"/>
      <c r="D819" s="86"/>
      <c r="E819" s="85"/>
    </row>
    <row r="820">
      <c r="A820" s="85"/>
      <c r="B820" s="85"/>
      <c r="C820" s="85"/>
      <c r="D820" s="86"/>
      <c r="E820" s="85"/>
    </row>
    <row r="821">
      <c r="A821" s="85"/>
      <c r="B821" s="85"/>
      <c r="C821" s="85"/>
      <c r="D821" s="86"/>
      <c r="E821" s="85"/>
    </row>
    <row r="822">
      <c r="A822" s="85"/>
      <c r="B822" s="85"/>
      <c r="C822" s="85"/>
      <c r="D822" s="86"/>
      <c r="E822" s="85"/>
    </row>
    <row r="823">
      <c r="A823" s="85"/>
      <c r="B823" s="85"/>
      <c r="C823" s="85"/>
      <c r="D823" s="86"/>
      <c r="E823" s="85"/>
    </row>
    <row r="824">
      <c r="A824" s="85"/>
      <c r="B824" s="85"/>
      <c r="C824" s="85"/>
      <c r="D824" s="86"/>
      <c r="E824" s="85"/>
    </row>
    <row r="825">
      <c r="A825" s="85"/>
      <c r="B825" s="85"/>
      <c r="C825" s="85"/>
      <c r="D825" s="86"/>
      <c r="E825" s="85"/>
    </row>
    <row r="826">
      <c r="A826" s="85"/>
      <c r="B826" s="85"/>
      <c r="C826" s="85"/>
      <c r="D826" s="86"/>
      <c r="E826" s="85"/>
    </row>
    <row r="827">
      <c r="A827" s="85"/>
      <c r="B827" s="85"/>
      <c r="C827" s="85"/>
      <c r="D827" s="86"/>
      <c r="E827" s="85"/>
    </row>
    <row r="828">
      <c r="A828" s="85"/>
      <c r="B828" s="85"/>
      <c r="C828" s="85"/>
      <c r="D828" s="86"/>
      <c r="E828" s="85"/>
    </row>
    <row r="829">
      <c r="A829" s="85"/>
      <c r="B829" s="85"/>
      <c r="C829" s="85"/>
      <c r="D829" s="86"/>
      <c r="E829" s="85"/>
    </row>
    <row r="830">
      <c r="A830" s="85"/>
      <c r="B830" s="85"/>
      <c r="C830" s="85"/>
      <c r="D830" s="86"/>
      <c r="E830" s="85"/>
    </row>
    <row r="831">
      <c r="A831" s="85"/>
      <c r="B831" s="85"/>
      <c r="C831" s="85"/>
      <c r="D831" s="86"/>
      <c r="E831" s="85"/>
    </row>
    <row r="832">
      <c r="A832" s="85"/>
      <c r="B832" s="85"/>
      <c r="C832" s="85"/>
      <c r="D832" s="86"/>
      <c r="E832" s="85"/>
    </row>
    <row r="833">
      <c r="A833" s="85"/>
      <c r="B833" s="85"/>
      <c r="C833" s="85"/>
      <c r="D833" s="86"/>
      <c r="E833" s="85"/>
    </row>
    <row r="834">
      <c r="A834" s="85"/>
      <c r="B834" s="85"/>
      <c r="C834" s="85"/>
      <c r="D834" s="86"/>
      <c r="E834" s="85"/>
    </row>
    <row r="835">
      <c r="A835" s="85"/>
      <c r="B835" s="85"/>
      <c r="C835" s="85"/>
      <c r="D835" s="86"/>
      <c r="E835" s="85"/>
    </row>
    <row r="836">
      <c r="A836" s="85"/>
      <c r="B836" s="85"/>
      <c r="C836" s="85"/>
      <c r="D836" s="86"/>
      <c r="E836" s="85"/>
    </row>
    <row r="837">
      <c r="A837" s="85"/>
      <c r="B837" s="85"/>
      <c r="C837" s="85"/>
      <c r="D837" s="86"/>
      <c r="E837" s="85"/>
    </row>
    <row r="838">
      <c r="A838" s="85"/>
      <c r="B838" s="85"/>
      <c r="C838" s="85"/>
      <c r="D838" s="86"/>
      <c r="E838" s="85"/>
    </row>
    <row r="839">
      <c r="A839" s="85"/>
      <c r="B839" s="85"/>
      <c r="C839" s="85"/>
      <c r="D839" s="86"/>
      <c r="E839" s="85"/>
    </row>
    <row r="840">
      <c r="A840" s="85"/>
      <c r="B840" s="85"/>
      <c r="C840" s="85"/>
      <c r="D840" s="86"/>
      <c r="E840" s="85"/>
    </row>
    <row r="841">
      <c r="A841" s="85"/>
      <c r="B841" s="85"/>
      <c r="C841" s="85"/>
      <c r="D841" s="86"/>
      <c r="E841" s="85"/>
    </row>
    <row r="842">
      <c r="A842" s="85"/>
      <c r="B842" s="85"/>
      <c r="C842" s="85"/>
      <c r="D842" s="86"/>
      <c r="E842" s="85"/>
    </row>
    <row r="843">
      <c r="A843" s="85"/>
      <c r="B843" s="85"/>
      <c r="C843" s="85"/>
      <c r="D843" s="86"/>
      <c r="E843" s="85"/>
    </row>
    <row r="844">
      <c r="A844" s="85"/>
      <c r="B844" s="85"/>
      <c r="C844" s="85"/>
      <c r="D844" s="86"/>
      <c r="E844" s="85"/>
    </row>
    <row r="845">
      <c r="A845" s="85"/>
      <c r="B845" s="85"/>
      <c r="C845" s="85"/>
      <c r="D845" s="86"/>
      <c r="E845" s="85"/>
    </row>
    <row r="846">
      <c r="A846" s="85"/>
      <c r="B846" s="85"/>
      <c r="C846" s="85"/>
      <c r="D846" s="86"/>
      <c r="E846" s="85"/>
    </row>
    <row r="847">
      <c r="A847" s="85"/>
      <c r="B847" s="85"/>
      <c r="C847" s="85"/>
      <c r="D847" s="86"/>
      <c r="E847" s="85"/>
    </row>
    <row r="848">
      <c r="A848" s="85"/>
      <c r="B848" s="85"/>
      <c r="C848" s="85"/>
      <c r="D848" s="86"/>
      <c r="E848" s="85"/>
    </row>
    <row r="849">
      <c r="A849" s="85"/>
      <c r="B849" s="85"/>
      <c r="C849" s="85"/>
      <c r="D849" s="86"/>
      <c r="E849" s="85"/>
    </row>
    <row r="850">
      <c r="A850" s="85"/>
      <c r="B850" s="85"/>
      <c r="C850" s="85"/>
      <c r="D850" s="86"/>
      <c r="E850" s="85"/>
    </row>
    <row r="851">
      <c r="A851" s="85"/>
      <c r="B851" s="85"/>
      <c r="C851" s="85"/>
      <c r="D851" s="86"/>
      <c r="E851" s="85"/>
    </row>
    <row r="852">
      <c r="A852" s="85"/>
      <c r="B852" s="85"/>
      <c r="C852" s="85"/>
      <c r="D852" s="86"/>
      <c r="E852" s="85"/>
    </row>
    <row r="853">
      <c r="A853" s="85"/>
      <c r="B853" s="85"/>
      <c r="C853" s="85"/>
      <c r="D853" s="86"/>
      <c r="E853" s="85"/>
    </row>
    <row r="854">
      <c r="A854" s="85"/>
      <c r="B854" s="85"/>
      <c r="C854" s="85"/>
      <c r="D854" s="86"/>
      <c r="E854" s="85"/>
    </row>
    <row r="855">
      <c r="A855" s="85"/>
      <c r="B855" s="85"/>
      <c r="C855" s="85"/>
      <c r="D855" s="86"/>
      <c r="E855" s="85"/>
    </row>
    <row r="856">
      <c r="A856" s="85"/>
      <c r="B856" s="85"/>
      <c r="C856" s="85"/>
      <c r="D856" s="86"/>
      <c r="E856" s="85"/>
    </row>
    <row r="857">
      <c r="A857" s="85"/>
      <c r="B857" s="85"/>
      <c r="C857" s="85"/>
      <c r="D857" s="86"/>
      <c r="E857" s="85"/>
    </row>
    <row r="858">
      <c r="A858" s="85"/>
      <c r="B858" s="85"/>
      <c r="C858" s="85"/>
      <c r="D858" s="86"/>
      <c r="E858" s="85"/>
    </row>
    <row r="859">
      <c r="A859" s="85"/>
      <c r="B859" s="85"/>
      <c r="C859" s="85"/>
      <c r="D859" s="86"/>
      <c r="E859" s="85"/>
    </row>
    <row r="860">
      <c r="A860" s="85"/>
      <c r="B860" s="85"/>
      <c r="C860" s="85"/>
      <c r="D860" s="86"/>
      <c r="E860" s="85"/>
    </row>
    <row r="861">
      <c r="A861" s="85"/>
      <c r="B861" s="85"/>
      <c r="C861" s="85"/>
      <c r="D861" s="86"/>
      <c r="E861" s="85"/>
    </row>
    <row r="862">
      <c r="A862" s="85"/>
      <c r="B862" s="85"/>
      <c r="C862" s="85"/>
      <c r="D862" s="86"/>
      <c r="E862" s="85"/>
    </row>
    <row r="863">
      <c r="A863" s="85"/>
      <c r="B863" s="85"/>
      <c r="C863" s="85"/>
      <c r="D863" s="86"/>
      <c r="E863" s="85"/>
    </row>
    <row r="864">
      <c r="A864" s="85"/>
      <c r="B864" s="85"/>
      <c r="C864" s="85"/>
      <c r="D864" s="86"/>
      <c r="E864" s="85"/>
    </row>
    <row r="865">
      <c r="A865" s="85"/>
      <c r="B865" s="85"/>
      <c r="C865" s="85"/>
      <c r="D865" s="86"/>
      <c r="E865" s="85"/>
    </row>
    <row r="866">
      <c r="A866" s="85"/>
      <c r="B866" s="85"/>
      <c r="C866" s="85"/>
      <c r="D866" s="86"/>
      <c r="E866" s="85"/>
    </row>
    <row r="867">
      <c r="A867" s="85"/>
      <c r="B867" s="85"/>
      <c r="C867" s="85"/>
      <c r="D867" s="86"/>
      <c r="E867" s="85"/>
    </row>
    <row r="868">
      <c r="A868" s="85"/>
      <c r="B868" s="85"/>
      <c r="C868" s="85"/>
      <c r="D868" s="86"/>
      <c r="E868" s="85"/>
    </row>
    <row r="869">
      <c r="A869" s="85"/>
      <c r="B869" s="85"/>
      <c r="C869" s="85"/>
      <c r="D869" s="86"/>
      <c r="E869" s="85"/>
    </row>
    <row r="870">
      <c r="A870" s="85"/>
      <c r="B870" s="85"/>
      <c r="C870" s="85"/>
      <c r="D870" s="86"/>
      <c r="E870" s="85"/>
    </row>
    <row r="871">
      <c r="A871" s="85"/>
      <c r="B871" s="85"/>
      <c r="C871" s="85"/>
      <c r="D871" s="86"/>
      <c r="E871" s="85"/>
    </row>
    <row r="872">
      <c r="A872" s="85"/>
      <c r="B872" s="85"/>
      <c r="C872" s="85"/>
      <c r="D872" s="86"/>
      <c r="E872" s="85"/>
    </row>
    <row r="873">
      <c r="A873" s="85"/>
      <c r="B873" s="85"/>
      <c r="C873" s="85"/>
      <c r="D873" s="86"/>
      <c r="E873" s="85"/>
    </row>
    <row r="874">
      <c r="A874" s="85"/>
      <c r="B874" s="85"/>
      <c r="C874" s="85"/>
      <c r="D874" s="86"/>
      <c r="E874" s="85"/>
    </row>
    <row r="875">
      <c r="A875" s="85"/>
      <c r="B875" s="85"/>
      <c r="C875" s="85"/>
      <c r="D875" s="86"/>
      <c r="E875" s="85"/>
    </row>
    <row r="876">
      <c r="A876" s="85"/>
      <c r="B876" s="85"/>
      <c r="C876" s="85"/>
      <c r="D876" s="86"/>
      <c r="E876" s="85"/>
    </row>
    <row r="877">
      <c r="A877" s="85"/>
      <c r="B877" s="85"/>
      <c r="C877" s="85"/>
      <c r="D877" s="86"/>
      <c r="E877" s="85"/>
    </row>
    <row r="878">
      <c r="A878" s="85"/>
      <c r="B878" s="85"/>
      <c r="C878" s="85"/>
      <c r="D878" s="86"/>
      <c r="E878" s="85"/>
    </row>
    <row r="879">
      <c r="A879" s="85"/>
      <c r="B879" s="85"/>
      <c r="C879" s="85"/>
      <c r="D879" s="86"/>
      <c r="E879" s="85"/>
    </row>
    <row r="880">
      <c r="A880" s="85"/>
      <c r="B880" s="85"/>
      <c r="C880" s="85"/>
      <c r="D880" s="86"/>
      <c r="E880" s="85"/>
    </row>
    <row r="881">
      <c r="A881" s="85"/>
      <c r="B881" s="85"/>
      <c r="C881" s="85"/>
      <c r="D881" s="86"/>
      <c r="E881" s="85"/>
    </row>
    <row r="882">
      <c r="A882" s="85"/>
      <c r="B882" s="85"/>
      <c r="C882" s="85"/>
      <c r="D882" s="86"/>
      <c r="E882" s="85"/>
    </row>
    <row r="883">
      <c r="A883" s="85"/>
      <c r="B883" s="85"/>
      <c r="C883" s="85"/>
      <c r="D883" s="86"/>
      <c r="E883" s="85"/>
    </row>
    <row r="884">
      <c r="A884" s="85"/>
      <c r="B884" s="85"/>
      <c r="C884" s="85"/>
      <c r="D884" s="86"/>
      <c r="E884" s="85"/>
    </row>
    <row r="885">
      <c r="A885" s="85"/>
      <c r="B885" s="85"/>
      <c r="C885" s="85"/>
      <c r="D885" s="86"/>
      <c r="E885" s="85"/>
    </row>
    <row r="886">
      <c r="A886" s="85"/>
      <c r="B886" s="85"/>
      <c r="C886" s="85"/>
      <c r="D886" s="86"/>
      <c r="E886" s="85"/>
    </row>
    <row r="887">
      <c r="A887" s="85"/>
      <c r="B887" s="85"/>
      <c r="C887" s="85"/>
      <c r="D887" s="86"/>
      <c r="E887" s="85"/>
    </row>
    <row r="888">
      <c r="A888" s="85"/>
      <c r="B888" s="85"/>
      <c r="C888" s="85"/>
      <c r="D888" s="86"/>
      <c r="E888" s="85"/>
    </row>
    <row r="889">
      <c r="A889" s="85"/>
      <c r="B889" s="85"/>
      <c r="C889" s="85"/>
      <c r="D889" s="86"/>
      <c r="E889" s="85"/>
    </row>
    <row r="890">
      <c r="A890" s="85"/>
      <c r="B890" s="85"/>
      <c r="C890" s="85"/>
      <c r="D890" s="86"/>
      <c r="E890" s="85"/>
    </row>
    <row r="891">
      <c r="A891" s="85"/>
      <c r="B891" s="85"/>
      <c r="C891" s="85"/>
      <c r="D891" s="86"/>
      <c r="E891" s="85"/>
    </row>
    <row r="892">
      <c r="A892" s="85"/>
      <c r="B892" s="85"/>
      <c r="C892" s="85"/>
      <c r="D892" s="86"/>
      <c r="E892" s="85"/>
    </row>
    <row r="893">
      <c r="A893" s="85"/>
      <c r="B893" s="85"/>
      <c r="C893" s="85"/>
      <c r="D893" s="86"/>
      <c r="E893" s="85"/>
    </row>
    <row r="894">
      <c r="A894" s="85"/>
      <c r="B894" s="85"/>
      <c r="C894" s="85"/>
      <c r="D894" s="86"/>
      <c r="E894" s="85"/>
    </row>
    <row r="895">
      <c r="A895" s="85"/>
      <c r="B895" s="85"/>
      <c r="C895" s="85"/>
      <c r="D895" s="86"/>
      <c r="E895" s="85"/>
    </row>
    <row r="896">
      <c r="A896" s="85"/>
      <c r="B896" s="85"/>
      <c r="C896" s="85"/>
      <c r="D896" s="86"/>
      <c r="E896" s="85"/>
    </row>
    <row r="897">
      <c r="A897" s="85"/>
      <c r="B897" s="85"/>
      <c r="C897" s="85"/>
      <c r="D897" s="86"/>
      <c r="E897" s="85"/>
    </row>
    <row r="898">
      <c r="A898" s="85"/>
      <c r="B898" s="85"/>
      <c r="C898" s="85"/>
      <c r="D898" s="86"/>
      <c r="E898" s="85"/>
    </row>
    <row r="899">
      <c r="A899" s="85"/>
      <c r="B899" s="85"/>
      <c r="C899" s="85"/>
      <c r="D899" s="86"/>
      <c r="E899" s="85"/>
    </row>
    <row r="900">
      <c r="A900" s="85"/>
      <c r="B900" s="85"/>
      <c r="C900" s="85"/>
      <c r="D900" s="86"/>
      <c r="E900" s="85"/>
    </row>
    <row r="901">
      <c r="A901" s="85"/>
      <c r="B901" s="85"/>
      <c r="C901" s="85"/>
      <c r="D901" s="86"/>
      <c r="E901" s="85"/>
    </row>
    <row r="902">
      <c r="A902" s="85"/>
      <c r="B902" s="85"/>
      <c r="C902" s="85"/>
      <c r="D902" s="86"/>
      <c r="E902" s="85"/>
    </row>
    <row r="903">
      <c r="A903" s="85"/>
      <c r="B903" s="85"/>
      <c r="C903" s="85"/>
      <c r="D903" s="86"/>
      <c r="E903" s="85"/>
    </row>
    <row r="904">
      <c r="A904" s="85"/>
      <c r="B904" s="85"/>
      <c r="C904" s="85"/>
      <c r="D904" s="86"/>
      <c r="E904" s="85"/>
    </row>
    <row r="905">
      <c r="A905" s="85"/>
      <c r="B905" s="85"/>
      <c r="C905" s="85"/>
      <c r="D905" s="86"/>
      <c r="E905" s="85"/>
    </row>
    <row r="906">
      <c r="A906" s="85"/>
      <c r="B906" s="85"/>
      <c r="C906" s="85"/>
      <c r="D906" s="86"/>
      <c r="E906" s="85"/>
    </row>
    <row r="907">
      <c r="A907" s="85"/>
      <c r="B907" s="85"/>
      <c r="C907" s="85"/>
      <c r="D907" s="86"/>
      <c r="E907" s="85"/>
    </row>
    <row r="908">
      <c r="A908" s="85"/>
      <c r="B908" s="85"/>
      <c r="C908" s="85"/>
      <c r="D908" s="86"/>
      <c r="E908" s="85"/>
    </row>
    <row r="909">
      <c r="A909" s="85"/>
      <c r="B909" s="85"/>
      <c r="C909" s="85"/>
      <c r="D909" s="86"/>
      <c r="E909" s="85"/>
    </row>
    <row r="910">
      <c r="A910" s="85"/>
      <c r="B910" s="85"/>
      <c r="C910" s="85"/>
      <c r="D910" s="86"/>
      <c r="E910" s="85"/>
    </row>
    <row r="911">
      <c r="A911" s="85"/>
      <c r="B911" s="85"/>
      <c r="C911" s="85"/>
      <c r="D911" s="86"/>
      <c r="E911" s="85"/>
    </row>
    <row r="912">
      <c r="A912" s="85"/>
      <c r="B912" s="85"/>
      <c r="C912" s="85"/>
      <c r="D912" s="86"/>
      <c r="E912" s="85"/>
    </row>
    <row r="913">
      <c r="A913" s="85"/>
      <c r="B913" s="85"/>
      <c r="C913" s="85"/>
      <c r="D913" s="86"/>
      <c r="E913" s="85"/>
    </row>
    <row r="914">
      <c r="A914" s="85"/>
      <c r="B914" s="85"/>
      <c r="C914" s="85"/>
      <c r="D914" s="86"/>
      <c r="E914" s="85"/>
    </row>
    <row r="915">
      <c r="A915" s="85"/>
      <c r="B915" s="85"/>
      <c r="C915" s="85"/>
      <c r="D915" s="86"/>
      <c r="E915" s="85"/>
    </row>
    <row r="916">
      <c r="A916" s="85"/>
      <c r="B916" s="85"/>
      <c r="C916" s="85"/>
      <c r="D916" s="86"/>
      <c r="E916" s="85"/>
    </row>
    <row r="917">
      <c r="A917" s="85"/>
      <c r="B917" s="85"/>
      <c r="C917" s="85"/>
      <c r="D917" s="86"/>
      <c r="E917" s="85"/>
    </row>
    <row r="918">
      <c r="A918" s="85"/>
      <c r="B918" s="85"/>
      <c r="C918" s="85"/>
      <c r="D918" s="86"/>
      <c r="E918" s="85"/>
    </row>
    <row r="919">
      <c r="A919" s="85"/>
      <c r="B919" s="85"/>
      <c r="C919" s="85"/>
      <c r="D919" s="86"/>
      <c r="E919" s="85"/>
    </row>
    <row r="920">
      <c r="A920" s="85"/>
      <c r="B920" s="85"/>
      <c r="C920" s="85"/>
      <c r="D920" s="86"/>
      <c r="E920" s="85"/>
    </row>
    <row r="921">
      <c r="A921" s="85"/>
      <c r="B921" s="85"/>
      <c r="C921" s="85"/>
      <c r="D921" s="86"/>
      <c r="E921" s="85"/>
    </row>
    <row r="922">
      <c r="A922" s="85"/>
      <c r="B922" s="85"/>
      <c r="C922" s="85"/>
      <c r="D922" s="86"/>
      <c r="E922" s="85"/>
    </row>
    <row r="923">
      <c r="A923" s="85"/>
      <c r="B923" s="85"/>
      <c r="C923" s="85"/>
      <c r="D923" s="86"/>
      <c r="E923" s="85"/>
    </row>
    <row r="924">
      <c r="A924" s="85"/>
      <c r="B924" s="85"/>
      <c r="C924" s="85"/>
      <c r="D924" s="86"/>
      <c r="E924" s="85"/>
    </row>
    <row r="925">
      <c r="A925" s="85"/>
      <c r="B925" s="85"/>
      <c r="C925" s="85"/>
      <c r="D925" s="86"/>
      <c r="E925" s="85"/>
    </row>
    <row r="926">
      <c r="A926" s="85"/>
      <c r="B926" s="85"/>
      <c r="C926" s="85"/>
      <c r="D926" s="86"/>
      <c r="E926" s="85"/>
    </row>
    <row r="927">
      <c r="A927" s="85"/>
      <c r="B927" s="85"/>
      <c r="C927" s="85"/>
      <c r="D927" s="86"/>
      <c r="E927" s="85"/>
    </row>
    <row r="928">
      <c r="A928" s="85"/>
      <c r="B928" s="85"/>
      <c r="C928" s="85"/>
      <c r="D928" s="86"/>
      <c r="E928" s="85"/>
    </row>
    <row r="929">
      <c r="A929" s="85"/>
      <c r="B929" s="85"/>
      <c r="C929" s="85"/>
      <c r="D929" s="86"/>
      <c r="E929" s="85"/>
    </row>
    <row r="930">
      <c r="A930" s="85"/>
      <c r="B930" s="85"/>
      <c r="C930" s="85"/>
      <c r="D930" s="86"/>
      <c r="E930" s="85"/>
    </row>
    <row r="931">
      <c r="A931" s="85"/>
      <c r="B931" s="85"/>
      <c r="C931" s="85"/>
      <c r="D931" s="86"/>
      <c r="E931" s="85"/>
    </row>
    <row r="932">
      <c r="A932" s="85"/>
      <c r="B932" s="85"/>
      <c r="C932" s="85"/>
      <c r="D932" s="86"/>
      <c r="E932" s="85"/>
    </row>
    <row r="933">
      <c r="A933" s="85"/>
      <c r="B933" s="85"/>
      <c r="C933" s="85"/>
      <c r="D933" s="86"/>
      <c r="E933" s="85"/>
    </row>
    <row r="934">
      <c r="A934" s="85"/>
      <c r="B934" s="85"/>
      <c r="C934" s="85"/>
      <c r="D934" s="86"/>
      <c r="E934" s="85"/>
    </row>
    <row r="935">
      <c r="A935" s="85"/>
      <c r="B935" s="85"/>
      <c r="C935" s="85"/>
      <c r="D935" s="86"/>
      <c r="E935" s="85"/>
    </row>
    <row r="936">
      <c r="A936" s="85"/>
      <c r="B936" s="85"/>
      <c r="C936" s="85"/>
      <c r="D936" s="86"/>
      <c r="E936" s="85"/>
    </row>
    <row r="937">
      <c r="A937" s="85"/>
      <c r="B937" s="85"/>
      <c r="C937" s="85"/>
      <c r="D937" s="86"/>
      <c r="E937" s="85"/>
    </row>
    <row r="938">
      <c r="A938" s="85"/>
      <c r="B938" s="85"/>
      <c r="C938" s="85"/>
      <c r="D938" s="86"/>
      <c r="E938" s="85"/>
    </row>
    <row r="939">
      <c r="A939" s="85"/>
      <c r="B939" s="85"/>
      <c r="C939" s="85"/>
      <c r="D939" s="86"/>
      <c r="E939" s="85"/>
    </row>
    <row r="940">
      <c r="A940" s="85"/>
      <c r="B940" s="85"/>
      <c r="C940" s="85"/>
      <c r="D940" s="86"/>
      <c r="E940" s="85"/>
    </row>
    <row r="941">
      <c r="A941" s="85"/>
      <c r="B941" s="85"/>
      <c r="C941" s="85"/>
      <c r="D941" s="86"/>
      <c r="E941" s="85"/>
    </row>
    <row r="942">
      <c r="A942" s="85"/>
      <c r="B942" s="85"/>
      <c r="C942" s="85"/>
      <c r="D942" s="86"/>
      <c r="E942" s="85"/>
    </row>
    <row r="943">
      <c r="A943" s="85"/>
      <c r="B943" s="85"/>
      <c r="C943" s="85"/>
      <c r="D943" s="86"/>
      <c r="E943" s="85"/>
    </row>
    <row r="944">
      <c r="A944" s="85"/>
      <c r="B944" s="85"/>
      <c r="C944" s="85"/>
      <c r="D944" s="86"/>
      <c r="E944" s="85"/>
    </row>
    <row r="945">
      <c r="A945" s="85"/>
      <c r="B945" s="85"/>
      <c r="C945" s="85"/>
      <c r="D945" s="86"/>
      <c r="E945" s="85"/>
    </row>
    <row r="946">
      <c r="A946" s="85"/>
      <c r="B946" s="85"/>
      <c r="C946" s="85"/>
      <c r="D946" s="86"/>
      <c r="E946" s="85"/>
    </row>
    <row r="947">
      <c r="A947" s="85"/>
      <c r="B947" s="85"/>
      <c r="C947" s="85"/>
      <c r="D947" s="86"/>
      <c r="E947" s="85"/>
    </row>
    <row r="948">
      <c r="A948" s="85"/>
      <c r="B948" s="85"/>
      <c r="C948" s="85"/>
      <c r="D948" s="86"/>
      <c r="E948" s="85"/>
    </row>
    <row r="949">
      <c r="A949" s="85"/>
      <c r="B949" s="85"/>
      <c r="C949" s="85"/>
      <c r="D949" s="86"/>
      <c r="E949" s="85"/>
    </row>
    <row r="950">
      <c r="A950" s="85"/>
      <c r="B950" s="85"/>
      <c r="C950" s="85"/>
      <c r="D950" s="86"/>
      <c r="E950" s="85"/>
    </row>
    <row r="951">
      <c r="A951" s="85"/>
      <c r="B951" s="85"/>
      <c r="C951" s="85"/>
      <c r="D951" s="86"/>
      <c r="E951" s="85"/>
    </row>
    <row r="952">
      <c r="A952" s="85"/>
      <c r="B952" s="85"/>
      <c r="C952" s="85"/>
      <c r="D952" s="86"/>
      <c r="E952" s="85"/>
    </row>
    <row r="953">
      <c r="A953" s="85"/>
      <c r="B953" s="85"/>
      <c r="C953" s="85"/>
      <c r="D953" s="86"/>
      <c r="E953" s="85"/>
    </row>
    <row r="954">
      <c r="A954" s="85"/>
      <c r="B954" s="85"/>
      <c r="C954" s="85"/>
      <c r="D954" s="86"/>
      <c r="E954" s="85"/>
    </row>
    <row r="955">
      <c r="A955" s="85"/>
      <c r="B955" s="85"/>
      <c r="C955" s="85"/>
      <c r="D955" s="86"/>
      <c r="E955" s="85"/>
    </row>
    <row r="956">
      <c r="A956" s="85"/>
      <c r="B956" s="85"/>
      <c r="C956" s="85"/>
      <c r="D956" s="86"/>
      <c r="E956" s="85"/>
    </row>
    <row r="957">
      <c r="A957" s="85"/>
      <c r="B957" s="85"/>
      <c r="C957" s="85"/>
      <c r="D957" s="86"/>
      <c r="E957" s="85"/>
    </row>
    <row r="958">
      <c r="A958" s="85"/>
      <c r="B958" s="85"/>
      <c r="C958" s="85"/>
      <c r="D958" s="86"/>
      <c r="E958" s="85"/>
    </row>
    <row r="959">
      <c r="A959" s="85"/>
      <c r="B959" s="85"/>
      <c r="C959" s="85"/>
      <c r="D959" s="86"/>
      <c r="E959" s="85"/>
    </row>
    <row r="960">
      <c r="A960" s="85"/>
      <c r="B960" s="85"/>
      <c r="C960" s="85"/>
      <c r="D960" s="86"/>
      <c r="E960" s="85"/>
    </row>
    <row r="961">
      <c r="A961" s="85"/>
      <c r="B961" s="85"/>
      <c r="C961" s="85"/>
      <c r="D961" s="86"/>
      <c r="E961" s="85"/>
    </row>
    <row r="962">
      <c r="A962" s="85"/>
      <c r="B962" s="85"/>
      <c r="C962" s="85"/>
      <c r="D962" s="86"/>
      <c r="E962" s="85"/>
    </row>
    <row r="963">
      <c r="A963" s="85"/>
      <c r="B963" s="85"/>
      <c r="C963" s="85"/>
      <c r="D963" s="86"/>
      <c r="E963" s="85"/>
    </row>
    <row r="964">
      <c r="A964" s="85"/>
      <c r="B964" s="85"/>
      <c r="C964" s="85"/>
      <c r="D964" s="86"/>
      <c r="E964" s="85"/>
    </row>
    <row r="965">
      <c r="A965" s="85"/>
      <c r="B965" s="85"/>
      <c r="C965" s="85"/>
      <c r="D965" s="86"/>
      <c r="E965" s="85"/>
    </row>
    <row r="966">
      <c r="A966" s="85"/>
      <c r="B966" s="85"/>
      <c r="C966" s="85"/>
      <c r="D966" s="86"/>
      <c r="E966" s="85"/>
    </row>
    <row r="967">
      <c r="A967" s="85"/>
      <c r="B967" s="85"/>
      <c r="C967" s="85"/>
      <c r="D967" s="86"/>
      <c r="E967" s="85"/>
    </row>
    <row r="968">
      <c r="A968" s="85"/>
      <c r="B968" s="85"/>
      <c r="C968" s="85"/>
      <c r="D968" s="86"/>
      <c r="E968" s="85"/>
    </row>
    <row r="969">
      <c r="A969" s="85"/>
      <c r="B969" s="85"/>
      <c r="C969" s="85"/>
      <c r="D969" s="86"/>
      <c r="E969" s="85"/>
    </row>
    <row r="970">
      <c r="A970" s="85"/>
      <c r="B970" s="85"/>
      <c r="C970" s="85"/>
      <c r="D970" s="86"/>
      <c r="E970" s="85"/>
    </row>
    <row r="971">
      <c r="A971" s="85"/>
      <c r="B971" s="85"/>
      <c r="C971" s="85"/>
      <c r="D971" s="86"/>
      <c r="E971" s="85"/>
    </row>
    <row r="972">
      <c r="A972" s="85"/>
      <c r="B972" s="85"/>
      <c r="C972" s="85"/>
      <c r="D972" s="86"/>
      <c r="E972" s="85"/>
    </row>
    <row r="973">
      <c r="A973" s="85"/>
      <c r="B973" s="85"/>
      <c r="C973" s="85"/>
      <c r="D973" s="86"/>
      <c r="E973" s="85"/>
    </row>
    <row r="974">
      <c r="A974" s="85"/>
      <c r="B974" s="85"/>
      <c r="C974" s="85"/>
      <c r="D974" s="86"/>
      <c r="E974" s="85"/>
    </row>
    <row r="975">
      <c r="A975" s="85"/>
      <c r="B975" s="85"/>
      <c r="C975" s="85"/>
      <c r="D975" s="86"/>
      <c r="E975" s="85"/>
    </row>
    <row r="976">
      <c r="A976" s="85"/>
      <c r="B976" s="85"/>
      <c r="C976" s="85"/>
      <c r="D976" s="86"/>
      <c r="E976" s="85"/>
    </row>
    <row r="977">
      <c r="A977" s="85"/>
      <c r="B977" s="85"/>
      <c r="C977" s="85"/>
      <c r="D977" s="86"/>
      <c r="E977" s="85"/>
    </row>
    <row r="978">
      <c r="A978" s="85"/>
      <c r="B978" s="85"/>
      <c r="C978" s="85"/>
      <c r="D978" s="86"/>
      <c r="E978" s="85"/>
    </row>
    <row r="979">
      <c r="A979" s="85"/>
      <c r="B979" s="85"/>
      <c r="C979" s="85"/>
      <c r="D979" s="86"/>
      <c r="E979" s="85"/>
    </row>
    <row r="980">
      <c r="A980" s="85"/>
      <c r="B980" s="85"/>
      <c r="C980" s="85"/>
      <c r="D980" s="86"/>
      <c r="E980" s="85"/>
    </row>
    <row r="981">
      <c r="A981" s="85"/>
      <c r="B981" s="85"/>
      <c r="C981" s="85"/>
      <c r="D981" s="86"/>
      <c r="E981" s="85"/>
    </row>
    <row r="982">
      <c r="A982" s="85"/>
      <c r="B982" s="85"/>
      <c r="C982" s="85"/>
      <c r="D982" s="86"/>
      <c r="E982" s="85"/>
    </row>
    <row r="983">
      <c r="A983" s="85"/>
      <c r="B983" s="85"/>
      <c r="C983" s="85"/>
      <c r="D983" s="86"/>
      <c r="E983" s="85"/>
    </row>
    <row r="984">
      <c r="A984" s="85"/>
      <c r="B984" s="85"/>
      <c r="C984" s="85"/>
      <c r="D984" s="86"/>
      <c r="E984" s="85"/>
    </row>
    <row r="985">
      <c r="A985" s="85"/>
      <c r="B985" s="85"/>
      <c r="C985" s="85"/>
      <c r="D985" s="86"/>
      <c r="E985" s="85"/>
    </row>
    <row r="986">
      <c r="A986" s="85"/>
      <c r="B986" s="85"/>
      <c r="C986" s="85"/>
      <c r="D986" s="86"/>
      <c r="E986" s="85"/>
    </row>
    <row r="987">
      <c r="A987" s="85"/>
      <c r="B987" s="85"/>
      <c r="C987" s="85"/>
      <c r="D987" s="86"/>
      <c r="E987" s="85"/>
    </row>
    <row r="988">
      <c r="A988" s="85"/>
      <c r="B988" s="85"/>
      <c r="C988" s="85"/>
      <c r="D988" s="86"/>
      <c r="E988" s="85"/>
    </row>
    <row r="989">
      <c r="A989" s="85"/>
      <c r="B989" s="85"/>
      <c r="C989" s="85"/>
      <c r="D989" s="86"/>
      <c r="E989" s="85"/>
    </row>
    <row r="990">
      <c r="A990" s="85"/>
      <c r="B990" s="85"/>
      <c r="C990" s="85"/>
      <c r="D990" s="86"/>
      <c r="E990" s="85"/>
    </row>
    <row r="991">
      <c r="A991" s="85"/>
      <c r="B991" s="85"/>
      <c r="C991" s="85"/>
      <c r="D991" s="86"/>
      <c r="E991" s="85"/>
    </row>
    <row r="992">
      <c r="A992" s="85"/>
      <c r="B992" s="85"/>
      <c r="C992" s="85"/>
      <c r="D992" s="86"/>
      <c r="E992" s="85"/>
    </row>
    <row r="993">
      <c r="A993" s="85"/>
      <c r="B993" s="85"/>
      <c r="C993" s="85"/>
      <c r="D993" s="86"/>
      <c r="E993" s="85"/>
    </row>
    <row r="994">
      <c r="A994" s="85"/>
      <c r="B994" s="85"/>
      <c r="C994" s="85"/>
      <c r="D994" s="86"/>
      <c r="E994" s="85"/>
    </row>
    <row r="995">
      <c r="A995" s="85"/>
      <c r="B995" s="85"/>
      <c r="C995" s="85"/>
      <c r="D995" s="86"/>
      <c r="E995" s="85"/>
    </row>
  </sheetData>
  <dataValidations>
    <dataValidation type="list" allowBlank="1" sqref="B2:B426">
      <formula1>"ENTRADA,SAIDA"</formula1>
    </dataValidation>
    <dataValidation type="custom" allowBlank="1" showDropDown="1" sqref="A2:A426">
      <formula1>OR(NOT(ISERROR(DATEVALUE(A2))), AND(ISNUMBER(A2), LEFT(CELL("format", A2))="D"))</formula1>
    </dataValidation>
    <dataValidation type="list" allowBlank="1" sqref="E2:E426">
      <formula1>"PAR,PCT,RL,UND,CX"</formula1>
    </dataValidation>
    <dataValidation type="list" allowBlank="1" sqref="C2:C426">
      <formula1>"CANETA CX C/100,LAPIS,PULSEIRA TYVEK HOMENS CINZA,PULSEIRA TYVEK MULHERES  ROSA,PULSEIRA TYVEK DIAMOND HOMENS,PULSEIRA TYVEK DIAMOND MULHERES,CAIXAS HOMENS DE HONRA,CAIXAS MULHER EM ALTA PERFORMANCE,ESPELHOS ,CHOCOLATES EM PASTILHAS,MARCADOR PILOT 2.0,MAR"&amp;"CADOR PILOT 1.0,APONTADOR,POST IT 38X51MM,CAMISA MAESTRIA,CARTUCHO 964 PRETO,CARTUCHO 964 AZUL,CARTUCHO 964 AMARELO,CARTUCHO 964 ROSA,ENVELOPE CARTA BRANCO,ENVELOPE BRANCO A4,ENVELOPE CARTÃO DE VISITA AZUL,SQUEEZE,BOMBA MANUAL,BOLA DE VIVIL,DUREX GROSSO P"&amp;"CT,TESOURA,PULSEIRA CIS,CRACHÁ CIS,CRACHÁ STAFF,CORDÃO FEBRACIS,ETIQUETA ,RIBOON,CHEIRINHO JOHNSONS,ALGODÃO,LIGA ELASTICA PCT,PAPEL OFICIO,LENÇO DE PAPEL,CRACHÁ GOLDEN,CRACHÁ GREEN,CUMBUCA 21CM ,CUMBUCA 14CM,CAPA DE CADEIRA BLACK,CRACHÁ FEBRACIS,CORDÃO GR"&amp;"EEN,CORDÃO GOLDEN,PULSEIRA METODO CIS,CORDÃO GREEN ANTIGO,PULSEIRA CIS GLOBAL ( FEBRACIS BAHIA),CORDÃO PLATINUM,CRACHÁ BLACK,COLONIA JHONSSON,CRACHÁ GOLDE PAPEL,CRACHÁ GREEN PAPEL,CRACHÁ GREEN ANTIGO,CRACHÁ GOLDEN ANTIGO ,CRACHÁ PLATINUM ,SERUM,BLOCO DE N"&amp;"OTAS FEBRACIS,Troféus Green,Troféus Golden,Troféus Platinum,PASTA HOMENS DE HONRA,PASTA MULHERES DE ALTA PERFORMANCE,BLOCO DE NOTAS HOMENS,BLOCO DE NOTAS MULHERES,CRACHÁ HOMENS,CRACHÁ MULHERES,CAMISA MULHERES  ALTA ERFORMANCEALTA PERFORM,CAMISA HOMENS DE "&amp;"HONRA,FACHA DOURADA,FACHA VERDE,FACHA PRATA,SACOLA METALIZADA PRETA,SACOLA METALIZADA PRATA,CAIXA DAY DULCE BORDO,CAIXA CIS GLOBAL,CAIXA IF,CAIXA MAESTRIA,CAIXA MENTORIA BUSINESS,CAIXA PRETA HOLDING,CAIXA DO LIVRO DE DULCE,ROLO DE PAPEL PARDO,MALA DE 23KG"&amp;",FELTRO VERMELHO,FELTRO ROSA,MOCHILA MAESTRIA,BANDEIROLAS DO BRASIL,BANDEIRAS DO BRASIL,BANDEIROLAS FLORIDA,FOGUEIRAS DE MADEIRA,BALÃO JUNINO PEQUENO,FOGUEIRA DE PAPEL,GIRASSOL,BAOAS FESTAS,OCULOS DE FESTA,MASCARAS DE FESTA,TOALHA JUNINA,CHAPEU COPO DO BR"&amp;"ASIL,SUPORTE PARA BALÃO,BOLAS ROSA,FIXA BALÃO DE TETO,CAIXINHA 4X4,COROA DE FESTA,MINI VASO PLASTICO DE PLANTA,Cachepots Para Mini Suculentas (rótulos),PAPEL DE PRESENTE DOURADO,LAÇO FACIL AZUL,LAÇO FACIL VERMELHO,LAÇO FACIL PRATA,LAÇO FACIL DOURADO,LAÇO "&amp;"FACIL ROSA,PAPEL SEDA DOURADO,SACO INCOLOR 10X15,SACO INCOLOR 11X20,BALÃO LETRA C,BALÃO Nº 1,VELA DECORATIVA PEQUENA,PLASTICO BOLHAS,FILME PVC,SACO DE BOBINA 5KG,PAPEL OFICIO ROSA,CADERNO EMPRESARIAL,BLOCO DE NOTAS MAESTRIA,CANETA  PODER E ALTA PERFORMANC"&amp;"E,CANETA MENTORIA BUSINESS,CANETA DAY DULCE,PASTA L,PAPEL GLOSSY 150G,PAPEL GLOSSY 115G,PAPEL GLOSSY 230G,PILHA RECARREGAVEL AAA,CAIXA PRESENTE MAESTRIA,CAIXA GGB p/ brigadeiro,Barra de chocolate Konpenhagem,Marca Pagina Febracis,MOLESKINE DAY DULCE,Livro"&amp;" de Dulce para doação,CAIXA BEGE MULHERES ALTA PERFORMANCE,CAIXA COM SUPORTE DE CELULAR,CAIXA BRIGADEIRO IF,VELA L´OUVORE,DIFUSOR  L´OUVORES,SEMIJOIA  ZARRARRA,SEMIJOIA BRILHUS,SEMIJOIA TB ASSESORIOS,KIT AVATIM,NESCESSARIE DAY DANTAS,VOUCHER INFINYT CROSF"&amp;"IT ,Trufa Kopenhagem,CAIXA ANIVERSARIO DE DULCE,Imã de geladeira,Mini vela baunilha,Porta Panfleto,Buzina de pressão,Lança confete,Durex pequeno,Cola bastão,CLIP PRATA,GRAMPO,PERFURADOR DE METAL,LAPISEIRA DE METAL,Caneta preta ,PULSEIRA TYVEK ROSA,CORDÃO "&amp;"MAESTRIA,CRACHÁ MAESTRIA,CANETA MAESTRIA,FITA SILVER TAPE,CANETA MENTORIA BUSINESS,PULSEIRA TYVEK HOMENS AZUL VIP,PULSEIRA TYVEK MULHERES AMARELA VIP,CANETA CX C/50,GRAMPEADOR,CLIPS COLIRIDOS CX,COLETE MONITORIA P,COLETE MONITORIA M,COLETE MONITORIA G,MOL"&amp;"ESKINE MAESTRIA UNIQUE,CANETA MAESTRIA UNIQUE BRANCA,TROFÉUS MAESTRIA ,SACOLAS MAESTRIA UNIQUE,COPO TERMICO MAESTRIA UNIQUE,CANETA FEBRACIS ,CAIXA MENTORIA BUSINESS,HEADSET LOGITECH,MOUSE SEM FIO HP,CAIXA DAY DULCE LILAS,CAIXA DAY DULCE ROSA,CANETA MAESTR"&amp;"IA CONVIDADOS"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63"/>
  </cols>
  <sheetData>
    <row r="1" ht="22.5" customHeight="1">
      <c r="A1" s="5" t="s">
        <v>250</v>
      </c>
    </row>
    <row r="2" ht="22.5" customHeight="1">
      <c r="A2" s="21" t="s">
        <v>17</v>
      </c>
    </row>
    <row r="3" ht="22.5" customHeight="1">
      <c r="A3" s="21" t="s">
        <v>25</v>
      </c>
    </row>
    <row r="4" ht="22.5" customHeight="1">
      <c r="A4" s="21" t="s">
        <v>28</v>
      </c>
    </row>
    <row r="5" ht="22.5" customHeight="1">
      <c r="A5" s="21" t="s">
        <v>30</v>
      </c>
    </row>
    <row r="6" ht="22.5" customHeight="1">
      <c r="A6" s="21" t="s">
        <v>32</v>
      </c>
    </row>
    <row r="7" ht="22.5" customHeight="1">
      <c r="A7" s="21" t="s">
        <v>34</v>
      </c>
    </row>
    <row r="8" ht="22.5" customHeight="1">
      <c r="A8" s="21" t="s">
        <v>35</v>
      </c>
    </row>
    <row r="9" ht="22.5" customHeight="1">
      <c r="A9" s="21" t="s">
        <v>37</v>
      </c>
    </row>
    <row r="10" ht="22.5" customHeight="1">
      <c r="A10" s="21" t="s">
        <v>39</v>
      </c>
    </row>
    <row r="11" ht="22.5" customHeight="1">
      <c r="A11" s="21" t="s">
        <v>41</v>
      </c>
    </row>
    <row r="12" ht="22.5" customHeight="1">
      <c r="A12" s="21" t="s">
        <v>42</v>
      </c>
    </row>
    <row r="13" ht="22.5" customHeight="1">
      <c r="A13" s="21" t="s">
        <v>43</v>
      </c>
    </row>
    <row r="14" ht="22.5" customHeight="1">
      <c r="A14" s="21" t="s">
        <v>46</v>
      </c>
    </row>
    <row r="15" ht="22.5" customHeight="1">
      <c r="A15" s="21" t="s">
        <v>47</v>
      </c>
    </row>
    <row r="16" ht="22.5" customHeight="1">
      <c r="A16" s="21" t="s">
        <v>48</v>
      </c>
    </row>
    <row r="17" ht="22.5" customHeight="1">
      <c r="A17" s="21" t="s">
        <v>50</v>
      </c>
    </row>
    <row r="18" ht="22.5" customHeight="1">
      <c r="A18" s="21" t="s">
        <v>51</v>
      </c>
    </row>
    <row r="19" ht="22.5" customHeight="1">
      <c r="A19" s="21" t="s">
        <v>53</v>
      </c>
    </row>
    <row r="20" ht="22.5" customHeight="1">
      <c r="A20" s="21" t="s">
        <v>54</v>
      </c>
    </row>
    <row r="21" ht="22.5" customHeight="1">
      <c r="A21" s="21" t="s">
        <v>56</v>
      </c>
    </row>
    <row r="22" ht="22.5" customHeight="1">
      <c r="A22" s="21" t="s">
        <v>57</v>
      </c>
    </row>
    <row r="23" ht="22.5" customHeight="1">
      <c r="A23" s="21" t="s">
        <v>59</v>
      </c>
    </row>
    <row r="24" ht="22.5" customHeight="1">
      <c r="A24" s="21" t="s">
        <v>60</v>
      </c>
    </row>
    <row r="25" ht="22.5" customHeight="1">
      <c r="A25" s="21" t="s">
        <v>62</v>
      </c>
    </row>
    <row r="26" ht="22.5" customHeight="1">
      <c r="A26" s="21" t="s">
        <v>63</v>
      </c>
    </row>
    <row r="27" ht="22.5" customHeight="1">
      <c r="A27" s="21" t="s">
        <v>65</v>
      </c>
    </row>
    <row r="28" ht="22.5" customHeight="1">
      <c r="A28" s="21" t="s">
        <v>67</v>
      </c>
    </row>
    <row r="29" ht="22.5" customHeight="1">
      <c r="A29" s="21" t="s">
        <v>68</v>
      </c>
    </row>
    <row r="30" ht="22.5" customHeight="1">
      <c r="A30" s="21" t="s">
        <v>71</v>
      </c>
    </row>
    <row r="31" ht="22.5" customHeight="1">
      <c r="A31" s="21" t="s">
        <v>72</v>
      </c>
    </row>
    <row r="32" ht="22.5" customHeight="1">
      <c r="A32" s="21" t="s">
        <v>74</v>
      </c>
    </row>
    <row r="33" ht="22.5" customHeight="1">
      <c r="A33" s="21" t="s">
        <v>75</v>
      </c>
    </row>
    <row r="34" ht="22.5" customHeight="1">
      <c r="A34" s="29" t="s">
        <v>77</v>
      </c>
    </row>
    <row r="35" ht="22.5" customHeight="1">
      <c r="A35" s="29" t="s">
        <v>79</v>
      </c>
    </row>
    <row r="36" ht="22.5" customHeight="1">
      <c r="A36" s="21" t="s">
        <v>81</v>
      </c>
    </row>
    <row r="37" ht="22.5" customHeight="1">
      <c r="A37" s="21" t="s">
        <v>82</v>
      </c>
    </row>
    <row r="38" ht="22.5" customHeight="1">
      <c r="A38" s="29" t="s">
        <v>84</v>
      </c>
    </row>
    <row r="39" ht="22.5" customHeight="1">
      <c r="A39" s="21" t="s">
        <v>86</v>
      </c>
    </row>
    <row r="40" ht="22.5" customHeight="1">
      <c r="A40" s="29" t="s">
        <v>87</v>
      </c>
    </row>
    <row r="41" ht="22.5" customHeight="1">
      <c r="A41" s="21" t="s">
        <v>89</v>
      </c>
    </row>
    <row r="42" ht="22.5" customHeight="1">
      <c r="A42" s="21" t="s">
        <v>91</v>
      </c>
    </row>
    <row r="43" ht="22.5" customHeight="1">
      <c r="A43" s="21" t="s">
        <v>92</v>
      </c>
    </row>
    <row r="44" ht="22.5" customHeight="1">
      <c r="A44" s="21" t="s">
        <v>94</v>
      </c>
    </row>
    <row r="45" ht="22.5" customHeight="1">
      <c r="A45" s="21" t="s">
        <v>96</v>
      </c>
    </row>
    <row r="46" ht="22.5" customHeight="1">
      <c r="A46" s="29" t="s">
        <v>97</v>
      </c>
    </row>
    <row r="47" ht="22.5" customHeight="1">
      <c r="A47" s="29" t="s">
        <v>99</v>
      </c>
    </row>
    <row r="48" ht="22.5" customHeight="1">
      <c r="A48" s="29" t="s">
        <v>101</v>
      </c>
    </row>
    <row r="49" ht="22.5" customHeight="1">
      <c r="A49" s="29" t="s">
        <v>102</v>
      </c>
    </row>
    <row r="50" ht="22.5" customHeight="1">
      <c r="A50" s="21" t="s">
        <v>104</v>
      </c>
    </row>
    <row r="51" ht="22.5" customHeight="1">
      <c r="A51" s="29" t="s">
        <v>105</v>
      </c>
    </row>
    <row r="52" ht="22.5" customHeight="1">
      <c r="A52" s="21" t="s">
        <v>107</v>
      </c>
    </row>
    <row r="53" ht="22.5" customHeight="1">
      <c r="A53" s="21" t="s">
        <v>108</v>
      </c>
    </row>
    <row r="54" ht="22.5" customHeight="1">
      <c r="A54" s="21" t="s">
        <v>110</v>
      </c>
    </row>
    <row r="55" ht="22.5" customHeight="1">
      <c r="A55" s="21" t="s">
        <v>111</v>
      </c>
    </row>
    <row r="56" ht="22.5" customHeight="1">
      <c r="A56" s="21" t="s">
        <v>113</v>
      </c>
    </row>
    <row r="57" ht="22.5" customHeight="1">
      <c r="A57" s="21" t="s">
        <v>115</v>
      </c>
    </row>
    <row r="58" ht="22.5" customHeight="1">
      <c r="A58" s="21" t="s">
        <v>117</v>
      </c>
    </row>
    <row r="59" ht="22.5" customHeight="1">
      <c r="A59" s="21" t="s">
        <v>118</v>
      </c>
    </row>
    <row r="60" ht="22.5" customHeight="1">
      <c r="A60" s="21" t="s">
        <v>120</v>
      </c>
    </row>
    <row r="61" ht="22.5" customHeight="1">
      <c r="A61" s="21" t="s">
        <v>121</v>
      </c>
    </row>
    <row r="62" ht="22.5" customHeight="1">
      <c r="A62" s="21" t="s">
        <v>123</v>
      </c>
    </row>
    <row r="63" ht="22.5" customHeight="1">
      <c r="A63" s="21" t="s">
        <v>124</v>
      </c>
    </row>
    <row r="64" ht="22.5" customHeight="1">
      <c r="A64" s="21" t="s">
        <v>126</v>
      </c>
    </row>
    <row r="65" ht="22.5" customHeight="1">
      <c r="A65" s="21" t="s">
        <v>127</v>
      </c>
    </row>
    <row r="66" ht="22.5" customHeight="1">
      <c r="A66" s="21" t="s">
        <v>129</v>
      </c>
    </row>
    <row r="67" ht="22.5" customHeight="1">
      <c r="A67" s="21" t="s">
        <v>130</v>
      </c>
    </row>
    <row r="68" ht="22.5" customHeight="1">
      <c r="A68" s="21" t="s">
        <v>131</v>
      </c>
    </row>
    <row r="69" ht="22.5" customHeight="1">
      <c r="A69" s="21" t="s">
        <v>132</v>
      </c>
    </row>
    <row r="70" ht="22.5" customHeight="1">
      <c r="A70" s="21" t="s">
        <v>133</v>
      </c>
    </row>
    <row r="71" ht="22.5" customHeight="1">
      <c r="A71" s="21" t="s">
        <v>134</v>
      </c>
    </row>
    <row r="72" ht="22.5" customHeight="1">
      <c r="A72" s="21" t="s">
        <v>135</v>
      </c>
    </row>
    <row r="73" ht="22.5" customHeight="1">
      <c r="A73" s="21" t="s">
        <v>136</v>
      </c>
    </row>
    <row r="74" ht="22.5" customHeight="1">
      <c r="A74" s="21" t="s">
        <v>137</v>
      </c>
    </row>
    <row r="75" ht="22.5" customHeight="1">
      <c r="A75" s="21" t="s">
        <v>138</v>
      </c>
    </row>
    <row r="76" ht="22.5" customHeight="1">
      <c r="A76" s="21" t="s">
        <v>139</v>
      </c>
    </row>
    <row r="77" ht="22.5" customHeight="1">
      <c r="A77" s="21" t="s">
        <v>140</v>
      </c>
    </row>
    <row r="78" ht="22.5" customHeight="1">
      <c r="A78" s="21" t="s">
        <v>141</v>
      </c>
    </row>
    <row r="79" ht="22.5" customHeight="1">
      <c r="A79" s="29" t="s">
        <v>142</v>
      </c>
    </row>
    <row r="80" ht="22.5" customHeight="1">
      <c r="A80" s="29" t="s">
        <v>143</v>
      </c>
    </row>
    <row r="81" ht="22.5" customHeight="1">
      <c r="A81" s="29" t="s">
        <v>144</v>
      </c>
    </row>
    <row r="82" ht="22.5" customHeight="1">
      <c r="A82" s="29" t="s">
        <v>146</v>
      </c>
    </row>
    <row r="83" ht="22.5" customHeight="1">
      <c r="A83" s="21" t="s">
        <v>147</v>
      </c>
    </row>
    <row r="84" ht="22.5" customHeight="1">
      <c r="A84" s="21" t="s">
        <v>148</v>
      </c>
    </row>
    <row r="85" ht="22.5" customHeight="1">
      <c r="A85" s="21" t="s">
        <v>149</v>
      </c>
    </row>
    <row r="86" ht="22.5" customHeight="1">
      <c r="A86" s="21" t="s">
        <v>150</v>
      </c>
    </row>
    <row r="87" ht="22.5" customHeight="1">
      <c r="A87" s="21" t="s">
        <v>151</v>
      </c>
    </row>
    <row r="88" ht="22.5" customHeight="1">
      <c r="A88" s="21" t="s">
        <v>152</v>
      </c>
    </row>
    <row r="89" ht="22.5" customHeight="1">
      <c r="A89" s="21" t="s">
        <v>153</v>
      </c>
    </row>
    <row r="90" ht="22.5" customHeight="1">
      <c r="A90" s="21" t="s">
        <v>154</v>
      </c>
    </row>
    <row r="91" ht="22.5" customHeight="1">
      <c r="A91" s="21" t="s">
        <v>155</v>
      </c>
    </row>
    <row r="92" ht="22.5" customHeight="1">
      <c r="A92" s="21" t="s">
        <v>156</v>
      </c>
    </row>
    <row r="93" ht="22.5" customHeight="1">
      <c r="A93" s="21" t="s">
        <v>157</v>
      </c>
    </row>
    <row r="94" ht="22.5" customHeight="1">
      <c r="A94" s="21" t="s">
        <v>158</v>
      </c>
    </row>
    <row r="95" ht="22.5" customHeight="1">
      <c r="A95" s="21" t="s">
        <v>159</v>
      </c>
    </row>
    <row r="96" ht="22.5" customHeight="1">
      <c r="A96" s="21" t="s">
        <v>160</v>
      </c>
    </row>
    <row r="97" ht="22.5" customHeight="1">
      <c r="A97" s="21" t="s">
        <v>161</v>
      </c>
    </row>
    <row r="98" ht="22.5" customHeight="1">
      <c r="A98" s="21" t="s">
        <v>162</v>
      </c>
    </row>
    <row r="99" ht="22.5" customHeight="1">
      <c r="A99" s="21" t="s">
        <v>163</v>
      </c>
    </row>
    <row r="100" ht="22.5" customHeight="1">
      <c r="A100" s="21" t="s">
        <v>164</v>
      </c>
    </row>
    <row r="101" ht="22.5" customHeight="1">
      <c r="A101" s="21" t="s">
        <v>165</v>
      </c>
    </row>
    <row r="102" ht="22.5" customHeight="1">
      <c r="A102" s="21" t="s">
        <v>166</v>
      </c>
    </row>
    <row r="103" ht="22.5" customHeight="1">
      <c r="A103" s="21" t="s">
        <v>167</v>
      </c>
    </row>
    <row r="104" ht="22.5" customHeight="1">
      <c r="A104" s="29" t="s">
        <v>168</v>
      </c>
    </row>
    <row r="105" ht="22.5" customHeight="1">
      <c r="A105" s="21" t="s">
        <v>169</v>
      </c>
    </row>
    <row r="106" ht="22.5" customHeight="1">
      <c r="A106" s="21" t="s">
        <v>170</v>
      </c>
    </row>
    <row r="107" ht="22.5" customHeight="1">
      <c r="A107" s="21" t="s">
        <v>171</v>
      </c>
    </row>
    <row r="108" ht="22.5" customHeight="1">
      <c r="A108" s="21" t="s">
        <v>172</v>
      </c>
    </row>
    <row r="109" ht="22.5" customHeight="1">
      <c r="A109" s="21" t="s">
        <v>173</v>
      </c>
    </row>
    <row r="110" ht="22.5" customHeight="1">
      <c r="A110" s="21" t="s">
        <v>174</v>
      </c>
    </row>
    <row r="111" ht="22.5" customHeight="1">
      <c r="A111" s="29" t="s">
        <v>175</v>
      </c>
    </row>
    <row r="112" ht="22.5" customHeight="1">
      <c r="A112" s="29" t="s">
        <v>177</v>
      </c>
    </row>
    <row r="113" ht="22.5" customHeight="1">
      <c r="A113" s="21" t="s">
        <v>179</v>
      </c>
    </row>
    <row r="114" ht="22.5" customHeight="1">
      <c r="A114" s="21" t="s">
        <v>180</v>
      </c>
    </row>
    <row r="115" ht="22.5" customHeight="1">
      <c r="A115" s="21" t="s">
        <v>181</v>
      </c>
    </row>
    <row r="116" ht="22.5" customHeight="1">
      <c r="A116" s="21" t="s">
        <v>182</v>
      </c>
    </row>
    <row r="117" ht="22.5" customHeight="1">
      <c r="A117" s="21" t="s">
        <v>83</v>
      </c>
    </row>
    <row r="118" ht="22.5" customHeight="1">
      <c r="A118" s="21" t="s">
        <v>183</v>
      </c>
    </row>
    <row r="119" ht="22.5" customHeight="1">
      <c r="A119" s="21" t="s">
        <v>184</v>
      </c>
    </row>
    <row r="120" ht="22.5" customHeight="1">
      <c r="A120" s="21" t="s">
        <v>185</v>
      </c>
    </row>
    <row r="121" ht="22.5" customHeight="1">
      <c r="A121" s="21" t="s">
        <v>187</v>
      </c>
    </row>
    <row r="122" ht="22.5" customHeight="1">
      <c r="A122" s="21" t="s">
        <v>188</v>
      </c>
    </row>
    <row r="123" ht="22.5" customHeight="1">
      <c r="A123" s="21" t="s">
        <v>189</v>
      </c>
    </row>
    <row r="124" ht="22.5" customHeight="1">
      <c r="A124" s="21" t="s">
        <v>190</v>
      </c>
    </row>
    <row r="125" ht="22.5" customHeight="1">
      <c r="A125" s="21" t="s">
        <v>191</v>
      </c>
    </row>
    <row r="126" ht="22.5" customHeight="1">
      <c r="A126" s="21" t="s">
        <v>192</v>
      </c>
    </row>
    <row r="127" ht="22.5" customHeight="1">
      <c r="A127" s="21" t="s">
        <v>193</v>
      </c>
    </row>
    <row r="128" ht="22.5" customHeight="1">
      <c r="A128" s="21" t="s">
        <v>194</v>
      </c>
    </row>
    <row r="129" ht="22.5" customHeight="1">
      <c r="A129" s="21" t="s">
        <v>195</v>
      </c>
    </row>
    <row r="130" ht="22.5" customHeight="1">
      <c r="A130" s="21" t="s">
        <v>196</v>
      </c>
    </row>
    <row r="131" ht="22.5" customHeight="1">
      <c r="A131" s="21" t="s">
        <v>197</v>
      </c>
    </row>
    <row r="132" ht="22.5" customHeight="1">
      <c r="A132" s="21" t="s">
        <v>198</v>
      </c>
    </row>
    <row r="133" ht="22.5" customHeight="1">
      <c r="A133" s="21" t="s">
        <v>199</v>
      </c>
    </row>
    <row r="134" ht="22.5" customHeight="1">
      <c r="A134" s="21" t="s">
        <v>200</v>
      </c>
    </row>
    <row r="135" ht="22.5" customHeight="1">
      <c r="A135" s="21" t="s">
        <v>201</v>
      </c>
    </row>
    <row r="136" ht="22.5" customHeight="1">
      <c r="A136" s="21" t="s">
        <v>202</v>
      </c>
    </row>
    <row r="137" ht="22.5" customHeight="1">
      <c r="A137" s="21" t="s">
        <v>203</v>
      </c>
    </row>
    <row r="138" ht="22.5" customHeight="1">
      <c r="A138" s="29" t="s">
        <v>204</v>
      </c>
    </row>
    <row r="139" ht="22.5" customHeight="1">
      <c r="A139" s="29" t="s">
        <v>205</v>
      </c>
    </row>
    <row r="140" ht="22.5" customHeight="1">
      <c r="A140" s="21" t="s">
        <v>206</v>
      </c>
    </row>
    <row r="141" ht="22.5" customHeight="1">
      <c r="A141" s="29" t="s">
        <v>207</v>
      </c>
    </row>
    <row r="142" ht="22.5" customHeight="1">
      <c r="A142" s="29" t="s">
        <v>208</v>
      </c>
    </row>
    <row r="143" ht="22.5" customHeight="1">
      <c r="A143" s="21" t="s">
        <v>209</v>
      </c>
    </row>
    <row r="144" ht="22.5" customHeight="1">
      <c r="A144" s="21" t="s">
        <v>210</v>
      </c>
    </row>
    <row r="145" ht="22.5" customHeight="1">
      <c r="A145" s="21" t="s">
        <v>211</v>
      </c>
    </row>
    <row r="146" ht="22.5" customHeight="1">
      <c r="A146" s="21" t="s">
        <v>212</v>
      </c>
    </row>
    <row r="147" ht="22.5" customHeight="1">
      <c r="A147" s="21" t="s">
        <v>213</v>
      </c>
    </row>
    <row r="148" ht="22.5" customHeight="1">
      <c r="A148" s="21" t="s">
        <v>214</v>
      </c>
    </row>
    <row r="149" ht="22.5" customHeight="1">
      <c r="A149" s="21" t="s">
        <v>215</v>
      </c>
    </row>
    <row r="150" ht="22.5" customHeight="1">
      <c r="A150" s="21" t="s">
        <v>216</v>
      </c>
    </row>
    <row r="151" ht="22.5" customHeight="1">
      <c r="A151" s="21" t="s">
        <v>217</v>
      </c>
    </row>
    <row r="152" ht="22.5" customHeight="1">
      <c r="A152" s="21" t="s">
        <v>218</v>
      </c>
    </row>
    <row r="153" ht="22.5" customHeight="1">
      <c r="A153" s="21" t="s">
        <v>219</v>
      </c>
    </row>
    <row r="154" ht="22.5" customHeight="1">
      <c r="A154" s="21" t="s">
        <v>220</v>
      </c>
    </row>
    <row r="155" ht="22.5" customHeight="1">
      <c r="A155" s="21" t="s">
        <v>221</v>
      </c>
    </row>
    <row r="156" ht="22.5" customHeight="1">
      <c r="A156" s="21" t="s">
        <v>222</v>
      </c>
    </row>
    <row r="157" ht="22.5" customHeight="1">
      <c r="A157" s="21" t="s">
        <v>223</v>
      </c>
    </row>
    <row r="158" ht="22.5" customHeight="1">
      <c r="A158" s="21" t="s">
        <v>224</v>
      </c>
    </row>
    <row r="159" ht="22.5" customHeight="1">
      <c r="A159" s="21" t="s">
        <v>225</v>
      </c>
    </row>
    <row r="160" ht="22.5" customHeight="1">
      <c r="A160" s="21" t="s">
        <v>226</v>
      </c>
    </row>
    <row r="161" ht="22.5" customHeight="1">
      <c r="A161" s="21" t="s">
        <v>227</v>
      </c>
    </row>
    <row r="162" ht="22.5" customHeight="1">
      <c r="A162" s="21" t="s">
        <v>228</v>
      </c>
    </row>
    <row r="163" ht="22.5" customHeight="1">
      <c r="A163" s="21" t="s">
        <v>229</v>
      </c>
    </row>
    <row r="164" ht="22.5" customHeight="1">
      <c r="A164" s="21" t="s">
        <v>230</v>
      </c>
    </row>
    <row r="165" ht="22.5" customHeight="1">
      <c r="A165" s="21" t="s">
        <v>231</v>
      </c>
    </row>
    <row r="166" ht="22.5" customHeight="1">
      <c r="A166" s="21" t="s">
        <v>232</v>
      </c>
    </row>
    <row r="167" ht="22.5" customHeight="1">
      <c r="A167" s="21" t="s">
        <v>233</v>
      </c>
    </row>
    <row r="168" ht="22.5" customHeight="1">
      <c r="A168" s="21" t="s">
        <v>234</v>
      </c>
    </row>
    <row r="169" ht="22.5" customHeight="1">
      <c r="A169" s="21" t="s">
        <v>235</v>
      </c>
    </row>
    <row r="170" ht="22.5" customHeight="1">
      <c r="A170" s="21" t="s">
        <v>236</v>
      </c>
    </row>
    <row r="171" ht="22.5" customHeight="1">
      <c r="A171" s="21" t="s">
        <v>237</v>
      </c>
    </row>
    <row r="172" ht="22.5" customHeight="1">
      <c r="A172" s="21" t="s">
        <v>238</v>
      </c>
    </row>
    <row r="173" ht="22.5" customHeight="1">
      <c r="A173" s="21" t="s">
        <v>240</v>
      </c>
    </row>
    <row r="174" ht="22.5" customHeight="1">
      <c r="A174" s="21" t="s">
        <v>241</v>
      </c>
    </row>
    <row r="175" ht="22.5" customHeight="1">
      <c r="A175" s="21" t="s">
        <v>242</v>
      </c>
    </row>
    <row r="176" ht="22.5" customHeight="1">
      <c r="A176" s="21" t="s">
        <v>243</v>
      </c>
    </row>
    <row r="177" ht="22.5" customHeight="1">
      <c r="A177" s="21" t="s">
        <v>244</v>
      </c>
    </row>
    <row r="178" ht="22.5" customHeight="1">
      <c r="A178" s="21" t="s">
        <v>245</v>
      </c>
    </row>
    <row r="179" ht="22.5" customHeight="1">
      <c r="A179" s="21" t="s">
        <v>246</v>
      </c>
    </row>
    <row r="180" ht="22.5" customHeight="1">
      <c r="A180" s="21" t="s">
        <v>247</v>
      </c>
    </row>
    <row r="181" ht="22.5" customHeight="1">
      <c r="A181" s="21" t="s">
        <v>248</v>
      </c>
    </row>
    <row r="182" ht="22.5" customHeight="1">
      <c r="A182" s="21" t="s">
        <v>249</v>
      </c>
    </row>
    <row r="183" ht="22.5" customHeight="1">
      <c r="A183" s="60" t="s">
        <v>252</v>
      </c>
    </row>
    <row r="184" ht="22.5" customHeight="1">
      <c r="A184" s="60" t="s">
        <v>253</v>
      </c>
    </row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</sheetData>
  <dataValidations>
    <dataValidation type="list" allowBlank="1" showErrorMessage="1" sqref="A2:A184">
      <formula1>"ALGODÃO,BALÃO JUNINO PEQUENO,BALÃO LETRA C,BALÃO Nº 1,BANDEIRAS DO BRASIL,BANDEIROLAS DO BRASIL,BANDEIROLAS FLORIDA,BAOAS FESTAS,Barra de chocolate Konpenhagem,BLOCO DE NOTAS FEBRACIS,BLOCO DE NOTAS HOMENS,BLOCO DE NOTAS MAESTRIA,BLOCO DE NOTAS MULHERES,B"&amp;"OLA DE VIVIL,BOLAS ROSA,BOMBA MANUAL,Buzina de pressão,Cachepots Para Mini Suculentas (rótulos),CADERNO EMPRESARIAL,CAIXA ANIVERSARIO DE DULCE,CAIXA BEGE MULHERES ALTA PERFORMANCE,CAIXA BRIGADEIRO IF,CAIXA CIS GLOBAL,CAIXA COM SUPORTE DE CELULAR,CAIXA DAY"&amp;" DULCE BORDO,CAIXA DAY DULCE LILAS,CAIXA DAY DULCE ROSA,CAIXA DO LIVRO DE DULCE,CAIXA GGB p/ brigadeiro,CAIXA IF,CAIXA MAESTRIA,CAIXA MENTORIA BUSINESS,CAIXA PRESENTE MAESTRIA,CAIXA PRETA HOLDING,CAIXAS HOMENS DE HONRA,CAIXAS MULHER EM ALTA PERFORMANCE,CA"&amp;"IXINHA 4X4,CAMISA HOMENS DE HONRA,CAMISA MAESTRIA,CAMISA MULHERES  ALTA ERFORMANCEALTA PERFORM,CANETA  PODER E ALTA PERFORMANCE,CANETA CX C/100,CANETA CX C/50,CANETA DAY DULCE,CANETA FEBRACIS ,CANETA MAESTRIA,CANETA MAESTRIA CONVIDADOS,CANETA MAESTRIA UNI"&amp;"QUE BRANCA,CANETA MENTORIA BUSINESS,CAPA DE CADEIRA BLACK,CARTUCHO 964 AMARELO,CARTUCHO 964 AZUL,CARTUCHO 964 PRETO,CARTUCHO 964 ROSA,CHAPEU COPO DO BRASIL,CHOCOLATES EM PASTILHAS,CLIP PRATA,CLIPS COLIRIDOS CX,Cola bastão,COLETE MONITORIA G,COLETE MONITOR"&amp;"IA M,COLETE MONITORIA P,COLONIA JHONSSON,COPO TERMICO MAESTRIA UNIQUE,CORDÃO E CRACHÁ MAESTRIA GLOBAL BUSINESS,CORDÃO FEBRACIS,CORDÃO GOLDEN,CORDÃO GREEN,CORDÃO GREEN ANTIGO,CORDÃO MAESTRIA,CORDÃO PLATINUM,COROA DE FESTA,CRACHÁ BLACK,CRACHÁ CIS,CRACHÁ FEB"&amp;"RACIS,CRACHÁ GOLDE PAPEL,CRACHÁ GOLDEN,CRACHÁ GREEN,CRACHÁ GREEN PAPEL,CRACHÁ HOMENS,CRACHÁ MAESTRIA,CRACHÁ MULHERES,CRACHÁ PLATINUM ,CRACHÁ STAFF,CUMBUCA 14CM,CUMBUCA 21CM ,DIFUSOR  L´OUVORES,DUREX GROSSO PCT,Durex pequeno,ENVELOPE BRANCO A4,ENVELOPE CAR"&amp;"TA BRANCO,ENVELOPE CARTÃO DE VISITA AZUL,ESPELHOS ,ESPUMA PARA HEDSET,ETIQUETA ,FACHA DOURADA,FACHA PRATA,FACHA VERDE,FELTRO ROSA,FELTRO VERMELHO,FILME PVC,FITA SILVER TAPE,FIXA BALÃO DE TETO,FOGUEIRA DE PAPEL,FOGUEIRAS DE MADEIRA,GIRASSOL,GRAMPEADOR,GRAM"&amp;"PO,HEADSET LOGITECH,Imã de geladeira,KIT AVATIM,LAÇO FACIL AZUL,LAÇO FACIL DOURADO,LAÇO FACIL PRATA,LAÇO FACIL ROSA,LAÇO FACIL VERMELHO,Lança confete,LAPIS,LAPISEIRA DE METAL,LENÇO DE PAPEL,LIGA ELASTICA PCT,Livro de Dulce para doação,MALA DE 23KG,Marca P"&amp;"agina Febracis,MARCADOR PILOT 1.0,MARCADOR PILOT 2.0,MASCARAS DE FESTA,MINI VASO PLASTICO DE PLANTA,Mini vela baunilha,MOCHILA MAESTRIA,MOLESKINE DAY DULCE,MOLESKINE MAESTRIA UNIQUE,MOUSE SEM FIO HP,NESCESSARIE DAY DANTAS,OCULOS DE FESTA,PAPEL DE PRESENTE"&amp;" DOURADO,PAPEL GLOSSY 115G,PAPEL GLOSSY 150G,PAPEL GLOSSY 230G,PAPEL OFICIO,PAPEL OFICIO ROSA,PAPEL SEDA DOURADO,PASTA HOMENS DE HONRA,PASTA L,PASTA MULHERES DE ALTA PERFORMANCE,PERFURADOR DE METAL,PILHA RECARREGAVEL AAA,PLASTICO BOLHAS,Porta Panfleto,POS"&amp;"T IT 38X51MM,PULSEIRA CIS,PULSEIRA CIS GLOBAL ( FEBRACIS BAHIA),PULSEIRA METODO CIS,PULSEIRA TYVEK DIAMOND HOMENS,PULSEIRA TYVEK DIAMOND MULHERES,PULSEIRA TYVEK HOMENS AZUL VIP,PULSEIRA TYVEK HOMENS CINZA,PULSEIRA TYVEK MULHERES  ROSA,PULSEIRA TYVEK MULHE"&amp;"RES AMARELA VIP,RIBOON,ROLO DE PAPEL PARDO,SACO DE BOBINA 5KG,SACO INCOLOR 10X15,SACO INCOLOR 11X20,SACOLA METALIZADA PRATA,SACOLA METALIZADA PRETA,SACOLAS MAESTRIA UNIQUE,SEMIJOIA  ZARRARRA,SEMIJOIA BRILHUS,SEMIJOIA TB ASSESORIOS,SERUM,SQUEEZE,SUPORTE PA"&amp;"RA BALÃO,TESOURA,TOALHA JUNINA,Troféus Golden,Troféus Green,TROFÉUS MAESTRIA ,Troféus Platinum,Trufa Kopenhagem,VELA DECORATIVA PEQUENA,VELA L´OUVORE,VOUCHER INFINYT CROSFIT 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</cols>
  <sheetData>
    <row r="1" ht="22.5" customHeight="1">
      <c r="A1" s="63" t="s">
        <v>254</v>
      </c>
      <c r="B1" s="64" t="s">
        <v>16</v>
      </c>
      <c r="C1" s="64" t="s">
        <v>255</v>
      </c>
    </row>
    <row r="2" ht="22.5" customHeight="1">
      <c r="A2" s="37" t="s">
        <v>129</v>
      </c>
      <c r="B2" s="37">
        <v>427.0</v>
      </c>
      <c r="C2" s="37" t="s">
        <v>19</v>
      </c>
    </row>
    <row r="3" ht="22.5" customHeight="1">
      <c r="A3" s="37" t="s">
        <v>130</v>
      </c>
      <c r="B3" s="37">
        <v>375.0</v>
      </c>
      <c r="C3" s="37" t="s">
        <v>19</v>
      </c>
    </row>
    <row r="4" ht="22.5" customHeight="1">
      <c r="A4" s="37" t="s">
        <v>136</v>
      </c>
      <c r="B4" s="37">
        <v>50.0</v>
      </c>
      <c r="C4" s="37" t="s">
        <v>19</v>
      </c>
    </row>
    <row r="5" ht="22.5" customHeight="1">
      <c r="A5" s="37" t="s">
        <v>126</v>
      </c>
      <c r="B5" s="37">
        <v>600.0</v>
      </c>
      <c r="C5" s="37" t="s">
        <v>19</v>
      </c>
    </row>
    <row r="6" ht="22.5" customHeight="1">
      <c r="A6" s="37" t="s">
        <v>115</v>
      </c>
      <c r="B6" s="37">
        <v>300.0</v>
      </c>
      <c r="C6" s="37" t="s">
        <v>19</v>
      </c>
    </row>
    <row r="7" ht="22.5" customHeight="1">
      <c r="A7" s="37" t="s">
        <v>113</v>
      </c>
      <c r="B7" s="37">
        <v>300.0</v>
      </c>
      <c r="C7" s="37" t="s">
        <v>19</v>
      </c>
    </row>
    <row r="8" ht="22.5" customHeight="1">
      <c r="A8" s="37" t="s">
        <v>256</v>
      </c>
      <c r="B8" s="37">
        <v>500.0</v>
      </c>
      <c r="C8" s="37" t="s">
        <v>19</v>
      </c>
    </row>
    <row r="9" ht="22.5" customHeight="1">
      <c r="A9" s="37" t="s">
        <v>257</v>
      </c>
      <c r="B9" s="37">
        <v>1200.0</v>
      </c>
      <c r="C9" s="37" t="s">
        <v>19</v>
      </c>
    </row>
    <row r="10" ht="22.5" customHeight="1">
      <c r="A10" s="37" t="s">
        <v>258</v>
      </c>
      <c r="B10" s="37">
        <v>12.0</v>
      </c>
      <c r="C10" s="37" t="s">
        <v>19</v>
      </c>
    </row>
    <row r="11" ht="22.5" customHeight="1">
      <c r="A11" s="37" t="s">
        <v>259</v>
      </c>
      <c r="B11" s="37">
        <v>12.0</v>
      </c>
      <c r="C11" s="37" t="s">
        <v>19</v>
      </c>
    </row>
    <row r="12" ht="22.5" customHeight="1">
      <c r="A12" s="37" t="s">
        <v>260</v>
      </c>
      <c r="B12" s="37">
        <v>12.0</v>
      </c>
      <c r="C12" s="37" t="s">
        <v>19</v>
      </c>
    </row>
    <row r="13" ht="22.5" customHeight="1">
      <c r="A13" s="37" t="s">
        <v>261</v>
      </c>
      <c r="B13" s="37">
        <v>12.0</v>
      </c>
      <c r="C13" s="37" t="s">
        <v>19</v>
      </c>
    </row>
    <row r="14" ht="22.5" customHeight="1">
      <c r="A14" s="37" t="s">
        <v>262</v>
      </c>
      <c r="B14" s="37">
        <v>600.0</v>
      </c>
      <c r="C14" s="37" t="s">
        <v>19</v>
      </c>
    </row>
    <row r="15" ht="22.5" customHeight="1">
      <c r="A15" s="37" t="s">
        <v>263</v>
      </c>
      <c r="B15" s="37">
        <v>720.0</v>
      </c>
      <c r="C15" s="37" t="s">
        <v>19</v>
      </c>
    </row>
    <row r="16" ht="22.5" customHeight="1">
      <c r="A16" s="37" t="s">
        <v>264</v>
      </c>
      <c r="B16" s="37">
        <v>50.0</v>
      </c>
      <c r="C16" s="37" t="s">
        <v>265</v>
      </c>
    </row>
    <row r="17" ht="22.5" customHeight="1">
      <c r="A17" s="37" t="s">
        <v>266</v>
      </c>
      <c r="B17" s="37">
        <v>8.0</v>
      </c>
      <c r="C17" s="37" t="s">
        <v>19</v>
      </c>
    </row>
    <row r="18" ht="22.5" customHeight="1">
      <c r="A18" s="37" t="s">
        <v>190</v>
      </c>
      <c r="B18" s="37">
        <v>2.0</v>
      </c>
      <c r="C18" s="37" t="s">
        <v>267</v>
      </c>
    </row>
    <row r="19" ht="22.5" customHeight="1">
      <c r="A19" s="37" t="s">
        <v>71</v>
      </c>
      <c r="B19" s="37">
        <v>4.0</v>
      </c>
      <c r="C19" s="37" t="s">
        <v>24</v>
      </c>
    </row>
    <row r="20" ht="22.5" customHeight="1">
      <c r="A20" s="37" t="s">
        <v>71</v>
      </c>
      <c r="B20" s="37">
        <v>2.0</v>
      </c>
      <c r="C20" s="37" t="s">
        <v>26</v>
      </c>
    </row>
    <row r="21" ht="22.5" customHeight="1">
      <c r="A21" s="37" t="s">
        <v>71</v>
      </c>
      <c r="B21" s="37">
        <v>4.0</v>
      </c>
      <c r="C21" s="37" t="s">
        <v>23</v>
      </c>
    </row>
    <row r="22" ht="22.5" customHeight="1">
      <c r="A22" s="37" t="s">
        <v>268</v>
      </c>
      <c r="B22" s="37">
        <v>12.0</v>
      </c>
      <c r="C22" s="37" t="s">
        <v>24</v>
      </c>
    </row>
    <row r="23" ht="22.5" customHeight="1">
      <c r="A23" s="37" t="s">
        <v>268</v>
      </c>
      <c r="B23" s="37">
        <v>12.0</v>
      </c>
      <c r="C23" s="37" t="s">
        <v>23</v>
      </c>
    </row>
    <row r="24" ht="22.5" customHeight="1">
      <c r="A24" s="37" t="s">
        <v>268</v>
      </c>
      <c r="B24" s="37">
        <v>11.0</v>
      </c>
      <c r="C24" s="37" t="s">
        <v>26</v>
      </c>
    </row>
    <row r="25" ht="22.5" customHeight="1">
      <c r="A25" s="37" t="s">
        <v>269</v>
      </c>
      <c r="B25" s="37">
        <v>450.0</v>
      </c>
      <c r="C25" s="37" t="s">
        <v>19</v>
      </c>
    </row>
    <row r="26" ht="22.5" customHeight="1">
      <c r="A26" s="65" t="s">
        <v>270</v>
      </c>
      <c r="B26" s="65">
        <v>95.0</v>
      </c>
      <c r="C26" s="65" t="s">
        <v>19</v>
      </c>
    </row>
    <row r="27" ht="22.5" customHeight="1">
      <c r="A27" s="65" t="s">
        <v>271</v>
      </c>
      <c r="B27" s="65">
        <v>2.0</v>
      </c>
      <c r="C27" s="65" t="s">
        <v>19</v>
      </c>
    </row>
    <row r="28" ht="22.5" customHeight="1">
      <c r="A28" s="65" t="s">
        <v>272</v>
      </c>
      <c r="B28" s="65">
        <v>62.0</v>
      </c>
      <c r="C28" s="65" t="s">
        <v>273</v>
      </c>
    </row>
    <row r="29" ht="22.5" customHeight="1">
      <c r="A29" s="65" t="s">
        <v>274</v>
      </c>
      <c r="B29" s="65">
        <v>395.0</v>
      </c>
      <c r="C29" s="65" t="s">
        <v>19</v>
      </c>
    </row>
    <row r="30" ht="22.5" customHeight="1">
      <c r="A30" s="65" t="s">
        <v>275</v>
      </c>
      <c r="B30" s="65">
        <v>8.0</v>
      </c>
      <c r="C30" s="65" t="s">
        <v>19</v>
      </c>
    </row>
    <row r="31" ht="22.5" customHeight="1">
      <c r="A31" s="65" t="s">
        <v>276</v>
      </c>
      <c r="B31" s="65">
        <v>6.0</v>
      </c>
      <c r="C31" s="65" t="s">
        <v>45</v>
      </c>
    </row>
    <row r="32" ht="22.5" customHeight="1">
      <c r="A32" s="65" t="s">
        <v>277</v>
      </c>
      <c r="B32" s="65">
        <v>2.0</v>
      </c>
      <c r="C32" s="65" t="s">
        <v>278</v>
      </c>
    </row>
    <row r="33" ht="22.5" customHeight="1">
      <c r="A33" s="65" t="s">
        <v>279</v>
      </c>
      <c r="B33" s="65">
        <v>105.0</v>
      </c>
      <c r="C33" s="65" t="s">
        <v>19</v>
      </c>
    </row>
    <row r="34" ht="22.5" customHeight="1">
      <c r="A34" s="65" t="s">
        <v>280</v>
      </c>
      <c r="B34" s="65">
        <v>2.0</v>
      </c>
      <c r="C34" s="65" t="s">
        <v>19</v>
      </c>
    </row>
    <row r="35" ht="22.5" customHeight="1">
      <c r="A35" s="65" t="s">
        <v>281</v>
      </c>
      <c r="B35" s="65">
        <v>2.0</v>
      </c>
      <c r="C35" s="65" t="s">
        <v>19</v>
      </c>
    </row>
    <row r="36" ht="22.5" customHeight="1">
      <c r="A36" s="65" t="s">
        <v>282</v>
      </c>
      <c r="B36" s="65">
        <v>2.0</v>
      </c>
      <c r="C36" s="65" t="s">
        <v>19</v>
      </c>
    </row>
    <row r="37" ht="22.5" customHeight="1">
      <c r="A37" s="65" t="s">
        <v>283</v>
      </c>
      <c r="B37" s="65">
        <v>2.0</v>
      </c>
      <c r="C37" s="65" t="s">
        <v>19</v>
      </c>
    </row>
    <row r="38" ht="22.5" customHeight="1">
      <c r="A38" s="65" t="s">
        <v>284</v>
      </c>
      <c r="B38" s="65">
        <v>8.0</v>
      </c>
      <c r="C38" s="65" t="s">
        <v>285</v>
      </c>
    </row>
    <row r="39" ht="22.5" customHeight="1">
      <c r="A39" s="65" t="s">
        <v>286</v>
      </c>
      <c r="B39" s="65">
        <v>12.0</v>
      </c>
      <c r="C39" s="65" t="s">
        <v>285</v>
      </c>
    </row>
    <row r="40" ht="22.5" customHeight="1">
      <c r="A40" s="65" t="s">
        <v>287</v>
      </c>
      <c r="B40" s="65">
        <v>12.0</v>
      </c>
      <c r="C40" s="65" t="s">
        <v>19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5"/>
    <col customWidth="1" min="4" max="4" width="14.75"/>
    <col customWidth="1" min="6" max="6" width="16.5"/>
    <col customWidth="1" min="7" max="8" width="15.25"/>
    <col customWidth="1" min="9" max="9" width="54.5"/>
    <col customWidth="1" min="10" max="10" width="21.0"/>
    <col customWidth="1" min="11" max="11" width="10.75"/>
    <col customWidth="1" min="12" max="12" width="17.75"/>
    <col customWidth="1" min="13" max="13" width="15.88"/>
  </cols>
  <sheetData>
    <row r="1" ht="22.5" customHeight="1">
      <c r="A1" s="63" t="s">
        <v>288</v>
      </c>
      <c r="B1" s="64" t="s">
        <v>9</v>
      </c>
      <c r="C1" s="64" t="s">
        <v>289</v>
      </c>
      <c r="D1" s="16" t="s">
        <v>290</v>
      </c>
      <c r="E1" s="16" t="s">
        <v>291</v>
      </c>
      <c r="F1" s="66" t="s">
        <v>292</v>
      </c>
      <c r="G1" s="16" t="s">
        <v>16</v>
      </c>
      <c r="H1" s="16" t="s">
        <v>293</v>
      </c>
      <c r="I1" s="67" t="s">
        <v>294</v>
      </c>
      <c r="J1" s="68" t="s">
        <v>295</v>
      </c>
      <c r="K1" s="68" t="s">
        <v>255</v>
      </c>
    </row>
    <row r="2" ht="22.5" customHeight="1">
      <c r="A2" s="37" t="s">
        <v>132</v>
      </c>
      <c r="B2" s="37" t="s">
        <v>19</v>
      </c>
      <c r="C2" s="37">
        <v>100.0</v>
      </c>
      <c r="D2" s="69">
        <v>0.92</v>
      </c>
      <c r="E2" s="34"/>
      <c r="F2" s="70">
        <f t="shared" ref="F2:F39" si="1">(C2*D2)+E2</f>
        <v>92</v>
      </c>
      <c r="G2" s="68" t="b">
        <v>1</v>
      </c>
      <c r="H2" s="65"/>
      <c r="I2" s="71" t="s">
        <v>296</v>
      </c>
      <c r="J2" s="72" t="s">
        <v>297</v>
      </c>
      <c r="K2" s="69"/>
    </row>
    <row r="3" ht="22.5" customHeight="1">
      <c r="A3" s="37" t="s">
        <v>134</v>
      </c>
      <c r="B3" s="37" t="s">
        <v>19</v>
      </c>
      <c r="C3" s="37">
        <v>200.0</v>
      </c>
      <c r="D3" s="69">
        <v>0.92</v>
      </c>
      <c r="E3" s="34"/>
      <c r="F3" s="70">
        <f t="shared" si="1"/>
        <v>184</v>
      </c>
      <c r="G3" s="68" t="b">
        <v>1</v>
      </c>
      <c r="H3" s="65"/>
      <c r="I3" s="71" t="s">
        <v>296</v>
      </c>
      <c r="J3" s="72" t="s">
        <v>297</v>
      </c>
      <c r="K3" s="69"/>
    </row>
    <row r="4" ht="22.5" customHeight="1">
      <c r="A4" s="37" t="s">
        <v>299</v>
      </c>
      <c r="B4" s="37" t="s">
        <v>19</v>
      </c>
      <c r="C4" s="37">
        <v>100.0</v>
      </c>
      <c r="D4" s="69">
        <v>2.34</v>
      </c>
      <c r="E4" s="34"/>
      <c r="F4" s="70">
        <f t="shared" si="1"/>
        <v>234</v>
      </c>
      <c r="G4" s="68" t="b">
        <v>1</v>
      </c>
      <c r="H4" s="65"/>
      <c r="I4" s="71" t="s">
        <v>300</v>
      </c>
      <c r="J4" s="72" t="s">
        <v>297</v>
      </c>
      <c r="K4" s="69"/>
    </row>
    <row r="5" ht="22.5" customHeight="1">
      <c r="A5" s="37" t="s">
        <v>302</v>
      </c>
      <c r="B5" s="37" t="s">
        <v>19</v>
      </c>
      <c r="C5" s="37">
        <v>182.0</v>
      </c>
      <c r="D5" s="69">
        <v>2.34</v>
      </c>
      <c r="E5" s="34"/>
      <c r="F5" s="70">
        <f t="shared" si="1"/>
        <v>425.88</v>
      </c>
      <c r="G5" s="68" t="b">
        <v>1</v>
      </c>
      <c r="H5" s="65"/>
      <c r="I5" s="71" t="s">
        <v>300</v>
      </c>
      <c r="J5" s="72" t="s">
        <v>297</v>
      </c>
      <c r="K5" s="69"/>
    </row>
    <row r="6" ht="22.5" customHeight="1">
      <c r="A6" s="37" t="s">
        <v>304</v>
      </c>
      <c r="B6" s="37" t="s">
        <v>19</v>
      </c>
      <c r="C6" s="37">
        <v>184.0</v>
      </c>
      <c r="D6" s="69">
        <v>5.36</v>
      </c>
      <c r="E6" s="34"/>
      <c r="F6" s="70">
        <f t="shared" si="1"/>
        <v>986.24</v>
      </c>
      <c r="G6" s="68" t="b">
        <v>1</v>
      </c>
      <c r="H6" s="65"/>
      <c r="I6" s="65" t="s">
        <v>305</v>
      </c>
      <c r="J6" s="72" t="s">
        <v>297</v>
      </c>
      <c r="K6" s="69"/>
    </row>
    <row r="7" ht="22.5" customHeight="1">
      <c r="A7" s="37" t="s">
        <v>306</v>
      </c>
      <c r="B7" s="37" t="s">
        <v>19</v>
      </c>
      <c r="C7" s="37">
        <v>19.0</v>
      </c>
      <c r="D7" s="69">
        <v>18.9</v>
      </c>
      <c r="E7" s="34"/>
      <c r="F7" s="70">
        <f t="shared" si="1"/>
        <v>359.1</v>
      </c>
      <c r="G7" s="68" t="b">
        <v>1</v>
      </c>
      <c r="H7" s="65"/>
      <c r="I7" s="65" t="s">
        <v>307</v>
      </c>
      <c r="J7" s="72" t="s">
        <v>297</v>
      </c>
      <c r="K7" s="69"/>
    </row>
    <row r="8" ht="22.5" customHeight="1">
      <c r="A8" s="37" t="s">
        <v>42</v>
      </c>
      <c r="B8" s="37" t="s">
        <v>19</v>
      </c>
      <c r="C8" s="37">
        <v>108.0</v>
      </c>
      <c r="D8" s="69">
        <v>10.53</v>
      </c>
      <c r="E8" s="34"/>
      <c r="F8" s="70">
        <f t="shared" si="1"/>
        <v>1137.24</v>
      </c>
      <c r="G8" s="68" t="b">
        <v>1</v>
      </c>
      <c r="H8" s="65"/>
      <c r="I8" s="65" t="s">
        <v>308</v>
      </c>
      <c r="J8" s="72" t="s">
        <v>297</v>
      </c>
      <c r="K8" s="69"/>
    </row>
    <row r="9" ht="22.5" customHeight="1">
      <c r="A9" s="37" t="s">
        <v>46</v>
      </c>
      <c r="B9" s="37" t="s">
        <v>19</v>
      </c>
      <c r="C9" s="37">
        <v>68.0</v>
      </c>
      <c r="D9" s="69">
        <v>10.53</v>
      </c>
      <c r="E9" s="34"/>
      <c r="F9" s="70">
        <f t="shared" si="1"/>
        <v>716.04</v>
      </c>
      <c r="G9" s="68" t="b">
        <v>1</v>
      </c>
      <c r="H9" s="65"/>
      <c r="I9" s="65" t="s">
        <v>308</v>
      </c>
      <c r="J9" s="72" t="s">
        <v>297</v>
      </c>
      <c r="K9" s="69"/>
    </row>
    <row r="10" ht="22.5" customHeight="1">
      <c r="A10" s="37" t="s">
        <v>309</v>
      </c>
      <c r="B10" s="37" t="s">
        <v>19</v>
      </c>
      <c r="C10" s="37">
        <v>2.0</v>
      </c>
      <c r="D10" s="69">
        <v>34.8</v>
      </c>
      <c r="E10" s="34"/>
      <c r="F10" s="70">
        <f t="shared" si="1"/>
        <v>69.6</v>
      </c>
      <c r="G10" s="68" t="b">
        <v>1</v>
      </c>
      <c r="H10" s="65" t="s">
        <v>23</v>
      </c>
      <c r="I10" s="37" t="s">
        <v>310</v>
      </c>
      <c r="J10" s="72" t="s">
        <v>297</v>
      </c>
      <c r="K10" s="69"/>
    </row>
    <row r="11" ht="22.5" customHeight="1">
      <c r="A11" s="37" t="s">
        <v>309</v>
      </c>
      <c r="B11" s="37" t="s">
        <v>19</v>
      </c>
      <c r="C11" s="37">
        <v>9.0</v>
      </c>
      <c r="D11" s="69">
        <v>34.8</v>
      </c>
      <c r="E11" s="34"/>
      <c r="F11" s="70">
        <f t="shared" si="1"/>
        <v>313.2</v>
      </c>
      <c r="G11" s="68" t="b">
        <v>1</v>
      </c>
      <c r="H11" s="65" t="s">
        <v>26</v>
      </c>
      <c r="I11" s="37" t="s">
        <v>310</v>
      </c>
      <c r="J11" s="72" t="s">
        <v>297</v>
      </c>
      <c r="K11" s="69"/>
    </row>
    <row r="12" ht="22.5" customHeight="1">
      <c r="A12" s="37" t="s">
        <v>309</v>
      </c>
      <c r="B12" s="37" t="s">
        <v>19</v>
      </c>
      <c r="C12" s="37">
        <v>5.0</v>
      </c>
      <c r="D12" s="69">
        <v>34.8</v>
      </c>
      <c r="E12" s="34"/>
      <c r="F12" s="70">
        <f t="shared" si="1"/>
        <v>174</v>
      </c>
      <c r="G12" s="68" t="b">
        <v>1</v>
      </c>
      <c r="H12" s="65" t="s">
        <v>29</v>
      </c>
      <c r="I12" s="37" t="s">
        <v>310</v>
      </c>
      <c r="J12" s="72" t="s">
        <v>297</v>
      </c>
      <c r="K12" s="69"/>
    </row>
    <row r="13" ht="22.5" customHeight="1">
      <c r="A13" s="37" t="s">
        <v>311</v>
      </c>
      <c r="B13" s="37" t="s">
        <v>19</v>
      </c>
      <c r="C13" s="37">
        <v>3.0</v>
      </c>
      <c r="D13" s="69">
        <v>34.8</v>
      </c>
      <c r="E13" s="34"/>
      <c r="F13" s="70">
        <f t="shared" si="1"/>
        <v>104.4</v>
      </c>
      <c r="G13" s="68" t="b">
        <v>1</v>
      </c>
      <c r="H13" s="65" t="s">
        <v>26</v>
      </c>
      <c r="I13" s="37" t="s">
        <v>310</v>
      </c>
      <c r="J13" s="72" t="s">
        <v>297</v>
      </c>
      <c r="K13" s="69"/>
    </row>
    <row r="14" ht="22.5" customHeight="1">
      <c r="A14" s="37" t="s">
        <v>311</v>
      </c>
      <c r="B14" s="37" t="s">
        <v>19</v>
      </c>
      <c r="C14" s="37">
        <v>2.0</v>
      </c>
      <c r="D14" s="69">
        <v>34.8</v>
      </c>
      <c r="E14" s="34"/>
      <c r="F14" s="70">
        <f t="shared" si="1"/>
        <v>69.6</v>
      </c>
      <c r="G14" s="68" t="b">
        <v>1</v>
      </c>
      <c r="H14" s="65" t="s">
        <v>29</v>
      </c>
      <c r="I14" s="37" t="s">
        <v>310</v>
      </c>
      <c r="J14" s="72" t="s">
        <v>297</v>
      </c>
      <c r="K14" s="69"/>
    </row>
    <row r="15" ht="22.5" customHeight="1">
      <c r="A15" s="37" t="s">
        <v>312</v>
      </c>
      <c r="B15" s="37" t="s">
        <v>19</v>
      </c>
      <c r="C15" s="37">
        <v>100.0</v>
      </c>
      <c r="D15" s="69">
        <v>0.47</v>
      </c>
      <c r="E15" s="34"/>
      <c r="F15" s="70">
        <f t="shared" si="1"/>
        <v>47</v>
      </c>
      <c r="G15" s="68" t="b">
        <v>1</v>
      </c>
      <c r="H15" s="65"/>
      <c r="I15" s="78"/>
      <c r="J15" s="72" t="s">
        <v>297</v>
      </c>
      <c r="K15" s="69"/>
    </row>
    <row r="16" ht="22.5" customHeight="1">
      <c r="A16" s="37" t="s">
        <v>313</v>
      </c>
      <c r="B16" s="37" t="s">
        <v>19</v>
      </c>
      <c r="C16" s="37">
        <v>200.0</v>
      </c>
      <c r="D16" s="69">
        <v>0.47</v>
      </c>
      <c r="E16" s="34"/>
      <c r="F16" s="70">
        <f t="shared" si="1"/>
        <v>94</v>
      </c>
      <c r="G16" s="68" t="b">
        <v>1</v>
      </c>
      <c r="H16" s="65"/>
      <c r="I16" s="78"/>
      <c r="J16" s="72" t="s">
        <v>297</v>
      </c>
      <c r="K16" s="69"/>
    </row>
    <row r="17" ht="22.5" customHeight="1">
      <c r="A17" s="37" t="s">
        <v>314</v>
      </c>
      <c r="B17" s="37" t="s">
        <v>19</v>
      </c>
      <c r="C17" s="37">
        <v>16.0</v>
      </c>
      <c r="D17" s="69">
        <v>0.0</v>
      </c>
      <c r="E17" s="34"/>
      <c r="F17" s="70">
        <f t="shared" si="1"/>
        <v>0</v>
      </c>
      <c r="G17" s="68" t="b">
        <v>1</v>
      </c>
      <c r="H17" s="65" t="s">
        <v>315</v>
      </c>
      <c r="I17" s="78"/>
      <c r="J17" s="72" t="s">
        <v>297</v>
      </c>
      <c r="K17" s="69"/>
    </row>
    <row r="18" ht="22.5" customHeight="1">
      <c r="A18" s="37" t="s">
        <v>316</v>
      </c>
      <c r="B18" s="37" t="s">
        <v>19</v>
      </c>
      <c r="C18" s="37">
        <v>20.0</v>
      </c>
      <c r="D18" s="69">
        <v>0.0</v>
      </c>
      <c r="E18" s="34"/>
      <c r="F18" s="70">
        <f t="shared" si="1"/>
        <v>0</v>
      </c>
      <c r="G18" s="68" t="b">
        <v>1</v>
      </c>
      <c r="H18" s="65" t="s">
        <v>317</v>
      </c>
      <c r="I18" s="78"/>
      <c r="J18" s="72" t="s">
        <v>297</v>
      </c>
      <c r="K18" s="69"/>
    </row>
    <row r="19" ht="22.5" customHeight="1">
      <c r="A19" s="37" t="s">
        <v>291</v>
      </c>
      <c r="C19" s="37">
        <v>1.0</v>
      </c>
      <c r="D19" s="69">
        <v>300.0</v>
      </c>
      <c r="E19" s="34"/>
      <c r="F19" s="70">
        <f t="shared" si="1"/>
        <v>300</v>
      </c>
      <c r="G19" s="68" t="b">
        <v>1</v>
      </c>
      <c r="H19" s="65"/>
      <c r="I19" s="78"/>
      <c r="J19" s="72" t="s">
        <v>297</v>
      </c>
      <c r="K19" s="69"/>
    </row>
    <row r="20" ht="22.5" customHeight="1">
      <c r="A20" s="37" t="s">
        <v>318</v>
      </c>
      <c r="B20" s="37" t="s">
        <v>19</v>
      </c>
      <c r="C20" s="37">
        <v>2.0</v>
      </c>
      <c r="D20" s="69">
        <v>104.29</v>
      </c>
      <c r="E20" s="34"/>
      <c r="F20" s="70">
        <f t="shared" si="1"/>
        <v>208.58</v>
      </c>
      <c r="G20" s="68" t="b">
        <v>1</v>
      </c>
      <c r="H20" s="65"/>
      <c r="I20" s="78"/>
      <c r="J20" s="72" t="s">
        <v>297</v>
      </c>
      <c r="K20" s="69">
        <v>5514.88</v>
      </c>
    </row>
    <row r="21" ht="22.5" customHeight="1">
      <c r="A21" s="37" t="s">
        <v>319</v>
      </c>
      <c r="B21" s="37" t="s">
        <v>19</v>
      </c>
      <c r="C21" s="37">
        <v>30.0</v>
      </c>
      <c r="D21" s="69">
        <v>37.0</v>
      </c>
      <c r="E21" s="34"/>
      <c r="F21" s="70">
        <f t="shared" si="1"/>
        <v>1110</v>
      </c>
      <c r="G21" s="68" t="b">
        <v>1</v>
      </c>
      <c r="H21" s="65"/>
      <c r="I21" s="78"/>
      <c r="J21" s="72" t="s">
        <v>301</v>
      </c>
      <c r="K21" s="69"/>
    </row>
    <row r="22" ht="22.5" customHeight="1">
      <c r="A22" s="37" t="s">
        <v>320</v>
      </c>
      <c r="B22" s="37" t="s">
        <v>19</v>
      </c>
      <c r="C22" s="37">
        <v>30.0</v>
      </c>
      <c r="D22" s="69">
        <v>45.0</v>
      </c>
      <c r="E22" s="34"/>
      <c r="F22" s="70">
        <f t="shared" si="1"/>
        <v>1350</v>
      </c>
      <c r="G22" s="68" t="b">
        <v>1</v>
      </c>
      <c r="H22" s="65"/>
      <c r="I22" s="78"/>
      <c r="J22" s="72" t="s">
        <v>301</v>
      </c>
      <c r="K22" s="69"/>
    </row>
    <row r="23" ht="22.5" customHeight="1">
      <c r="A23" s="37" t="s">
        <v>321</v>
      </c>
      <c r="B23" s="37" t="s">
        <v>19</v>
      </c>
      <c r="C23" s="37">
        <v>30.0</v>
      </c>
      <c r="D23" s="69">
        <v>6.0</v>
      </c>
      <c r="E23" s="34"/>
      <c r="F23" s="70">
        <f t="shared" si="1"/>
        <v>180</v>
      </c>
      <c r="G23" s="68" t="b">
        <v>1</v>
      </c>
      <c r="H23" s="65"/>
      <c r="I23" s="78"/>
      <c r="J23" s="72" t="s">
        <v>301</v>
      </c>
      <c r="K23" s="69"/>
    </row>
    <row r="24" ht="22.5" customHeight="1">
      <c r="A24" s="37" t="s">
        <v>322</v>
      </c>
      <c r="B24" s="37" t="s">
        <v>19</v>
      </c>
      <c r="C24" s="37">
        <v>14.0</v>
      </c>
      <c r="D24" s="69">
        <v>53.9</v>
      </c>
      <c r="E24" s="34"/>
      <c r="F24" s="70">
        <f t="shared" si="1"/>
        <v>754.6</v>
      </c>
      <c r="G24" s="68" t="b">
        <v>1</v>
      </c>
      <c r="H24" s="65"/>
      <c r="I24" s="78"/>
      <c r="J24" s="72" t="s">
        <v>301</v>
      </c>
      <c r="K24" s="69"/>
    </row>
    <row r="25" ht="22.5" customHeight="1">
      <c r="A25" s="37" t="s">
        <v>71</v>
      </c>
      <c r="B25" s="37" t="s">
        <v>19</v>
      </c>
      <c r="C25" s="37">
        <v>5.0</v>
      </c>
      <c r="D25" s="69">
        <v>45.0</v>
      </c>
      <c r="E25" s="34"/>
      <c r="F25" s="70">
        <f t="shared" si="1"/>
        <v>225</v>
      </c>
      <c r="G25" s="68" t="b">
        <v>1</v>
      </c>
      <c r="H25" s="65"/>
      <c r="I25" s="78"/>
      <c r="J25" s="72" t="s">
        <v>301</v>
      </c>
      <c r="K25" s="69"/>
    </row>
    <row r="26" ht="22.5" customHeight="1">
      <c r="A26" s="37" t="s">
        <v>323</v>
      </c>
      <c r="B26" s="37" t="s">
        <v>19</v>
      </c>
      <c r="C26" s="37">
        <v>5.0</v>
      </c>
      <c r="D26" s="69">
        <v>29.34</v>
      </c>
      <c r="E26" s="34"/>
      <c r="F26" s="70">
        <f t="shared" si="1"/>
        <v>146.7</v>
      </c>
      <c r="G26" s="68" t="b">
        <v>1</v>
      </c>
      <c r="H26" s="65"/>
      <c r="I26" s="78"/>
      <c r="J26" s="72" t="s">
        <v>301</v>
      </c>
      <c r="K26" s="69"/>
    </row>
    <row r="27" ht="22.5" customHeight="1">
      <c r="A27" s="37" t="s">
        <v>324</v>
      </c>
      <c r="B27" s="37" t="s">
        <v>19</v>
      </c>
      <c r="C27" s="37">
        <v>5.0</v>
      </c>
      <c r="D27" s="69">
        <v>15.09</v>
      </c>
      <c r="E27" s="34"/>
      <c r="F27" s="70">
        <f t="shared" si="1"/>
        <v>75.45</v>
      </c>
      <c r="G27" s="68" t="b">
        <v>1</v>
      </c>
      <c r="H27" s="65"/>
      <c r="I27" s="78"/>
      <c r="J27" s="72" t="s">
        <v>301</v>
      </c>
      <c r="K27" s="69"/>
    </row>
    <row r="28" ht="22.5" customHeight="1">
      <c r="A28" s="37" t="s">
        <v>325</v>
      </c>
      <c r="B28" s="37" t="s">
        <v>19</v>
      </c>
      <c r="C28" s="37">
        <v>6.0</v>
      </c>
      <c r="D28" s="69">
        <v>13.0</v>
      </c>
      <c r="E28" s="34"/>
      <c r="F28" s="70">
        <f t="shared" si="1"/>
        <v>78</v>
      </c>
      <c r="G28" s="68" t="b">
        <v>1</v>
      </c>
      <c r="H28" s="65"/>
      <c r="I28" s="78"/>
      <c r="J28" s="72" t="s">
        <v>301</v>
      </c>
      <c r="K28" s="69"/>
    </row>
    <row r="29" ht="22.5" customHeight="1">
      <c r="A29" s="65" t="s">
        <v>43</v>
      </c>
      <c r="B29" s="37" t="s">
        <v>19</v>
      </c>
      <c r="C29" s="37">
        <v>6.0</v>
      </c>
      <c r="D29" s="69">
        <v>14.0</v>
      </c>
      <c r="E29" s="34"/>
      <c r="F29" s="70">
        <f t="shared" si="1"/>
        <v>84</v>
      </c>
      <c r="G29" s="68" t="b">
        <v>1</v>
      </c>
      <c r="H29" s="65"/>
      <c r="I29" s="78"/>
      <c r="J29" s="72" t="s">
        <v>301</v>
      </c>
      <c r="K29" s="69"/>
    </row>
    <row r="30" ht="22.5" customHeight="1">
      <c r="A30" s="37" t="s">
        <v>118</v>
      </c>
      <c r="B30" s="37" t="s">
        <v>19</v>
      </c>
      <c r="C30" s="37">
        <v>6.0</v>
      </c>
      <c r="D30" s="69">
        <v>7.0</v>
      </c>
      <c r="E30" s="34"/>
      <c r="F30" s="70">
        <f t="shared" si="1"/>
        <v>42</v>
      </c>
      <c r="G30" s="68" t="b">
        <v>1</v>
      </c>
      <c r="H30" s="65"/>
      <c r="I30" s="78"/>
      <c r="J30" s="72" t="s">
        <v>301</v>
      </c>
      <c r="K30" s="69"/>
    </row>
    <row r="31" ht="22.5" customHeight="1">
      <c r="A31" s="37" t="s">
        <v>133</v>
      </c>
      <c r="B31" s="37" t="s">
        <v>19</v>
      </c>
      <c r="C31" s="37">
        <v>6.0</v>
      </c>
      <c r="D31" s="69">
        <v>4.5</v>
      </c>
      <c r="E31" s="34"/>
      <c r="F31" s="70">
        <f t="shared" si="1"/>
        <v>27</v>
      </c>
      <c r="G31" s="68" t="b">
        <v>1</v>
      </c>
      <c r="H31" s="65"/>
      <c r="I31" s="78"/>
      <c r="J31" s="72" t="s">
        <v>301</v>
      </c>
      <c r="K31" s="69">
        <v>4072.75</v>
      </c>
    </row>
    <row r="32" ht="22.5" customHeight="1">
      <c r="A32" s="37" t="s">
        <v>326</v>
      </c>
      <c r="B32" s="37" t="s">
        <v>19</v>
      </c>
      <c r="C32" s="37">
        <v>5.0</v>
      </c>
      <c r="D32" s="79"/>
      <c r="E32" s="34"/>
      <c r="F32" s="70">
        <f t="shared" si="1"/>
        <v>0</v>
      </c>
      <c r="G32" s="68" t="b">
        <v>0</v>
      </c>
      <c r="H32" s="65"/>
      <c r="I32" s="78"/>
      <c r="J32" s="80"/>
      <c r="K32" s="69"/>
    </row>
    <row r="33" ht="22.5" customHeight="1">
      <c r="A33" s="37"/>
      <c r="C33" s="37"/>
      <c r="D33" s="79"/>
      <c r="E33" s="34"/>
      <c r="F33" s="70">
        <f t="shared" si="1"/>
        <v>0</v>
      </c>
      <c r="G33" s="68" t="b">
        <v>0</v>
      </c>
      <c r="H33" s="65"/>
      <c r="I33" s="78"/>
      <c r="J33" s="80"/>
      <c r="K33" s="69"/>
    </row>
    <row r="34" ht="22.5" customHeight="1">
      <c r="A34" s="37"/>
      <c r="C34" s="37"/>
      <c r="D34" s="79"/>
      <c r="E34" s="34"/>
      <c r="F34" s="70">
        <f t="shared" si="1"/>
        <v>0</v>
      </c>
      <c r="G34" s="68" t="b">
        <v>0</v>
      </c>
      <c r="H34" s="65"/>
      <c r="I34" s="78"/>
      <c r="J34" s="80"/>
      <c r="K34" s="69"/>
    </row>
    <row r="35" ht="22.5" customHeight="1">
      <c r="A35" s="37"/>
      <c r="C35" s="37"/>
      <c r="D35" s="79"/>
      <c r="E35" s="34"/>
      <c r="F35" s="70">
        <f t="shared" si="1"/>
        <v>0</v>
      </c>
      <c r="G35" s="68" t="b">
        <v>0</v>
      </c>
      <c r="H35" s="65"/>
      <c r="I35" s="78"/>
      <c r="J35" s="80"/>
      <c r="K35" s="69"/>
    </row>
    <row r="36" ht="22.5" customHeight="1">
      <c r="A36" s="37"/>
      <c r="C36" s="37"/>
      <c r="D36" s="79"/>
      <c r="E36" s="34"/>
      <c r="F36" s="70">
        <f t="shared" si="1"/>
        <v>0</v>
      </c>
      <c r="G36" s="68" t="b">
        <v>0</v>
      </c>
      <c r="H36" s="65"/>
      <c r="I36" s="78"/>
      <c r="J36" s="80"/>
      <c r="K36" s="69"/>
    </row>
    <row r="37" ht="22.5" customHeight="1">
      <c r="D37" s="79"/>
      <c r="E37" s="34"/>
      <c r="F37" s="70">
        <f t="shared" si="1"/>
        <v>0</v>
      </c>
      <c r="G37" s="68" t="b">
        <v>0</v>
      </c>
      <c r="H37" s="65"/>
      <c r="I37" s="78"/>
      <c r="J37" s="80"/>
      <c r="K37" s="69"/>
    </row>
    <row r="38" ht="22.5" customHeight="1">
      <c r="D38" s="79"/>
      <c r="E38" s="34"/>
      <c r="F38" s="70">
        <f t="shared" si="1"/>
        <v>0</v>
      </c>
      <c r="G38" s="68" t="b">
        <v>0</v>
      </c>
      <c r="H38" s="65"/>
      <c r="I38" s="78"/>
      <c r="J38" s="80"/>
      <c r="K38" s="69"/>
    </row>
    <row r="39" ht="22.5" customHeight="1">
      <c r="D39" s="79"/>
      <c r="E39" s="34"/>
      <c r="F39" s="70">
        <f t="shared" si="1"/>
        <v>0</v>
      </c>
      <c r="G39" s="68" t="b">
        <v>0</v>
      </c>
      <c r="H39" s="65"/>
      <c r="I39" s="78"/>
      <c r="J39" s="80"/>
      <c r="K39" s="69"/>
    </row>
    <row r="40" ht="22.5" customHeight="1">
      <c r="D40" s="79"/>
      <c r="E40" s="65" t="s">
        <v>327</v>
      </c>
      <c r="F40" s="70">
        <f t="shared" ref="F40:F41" si="2">SUM(F2:F39)</f>
        <v>9587.63</v>
      </c>
      <c r="G40" s="68" t="b">
        <v>0</v>
      </c>
      <c r="H40" s="65"/>
      <c r="I40" s="78"/>
      <c r="J40" s="80"/>
      <c r="K40" s="69"/>
    </row>
    <row r="41" ht="22.5" customHeight="1">
      <c r="B41" s="34"/>
      <c r="C41" s="65"/>
      <c r="D41" s="79"/>
      <c r="E41" s="65"/>
      <c r="F41" s="70">
        <f t="shared" si="2"/>
        <v>19083.26</v>
      </c>
      <c r="G41" s="68" t="b">
        <v>0</v>
      </c>
      <c r="H41" s="65"/>
      <c r="I41" s="78"/>
      <c r="J41" s="80"/>
      <c r="K41" s="69"/>
    </row>
    <row r="42">
      <c r="F42" s="81"/>
      <c r="J42" s="82"/>
    </row>
    <row r="43">
      <c r="F43" s="81"/>
      <c r="J43" s="82"/>
    </row>
    <row r="44">
      <c r="F44" s="81"/>
      <c r="J44" s="82"/>
    </row>
    <row r="45">
      <c r="F45" s="81"/>
      <c r="J45" s="82"/>
    </row>
    <row r="46">
      <c r="F46" s="81"/>
      <c r="J46" s="82"/>
    </row>
    <row r="47">
      <c r="F47" s="81"/>
      <c r="J47" s="82"/>
    </row>
    <row r="48">
      <c r="F48" s="81"/>
      <c r="J48" s="82"/>
    </row>
    <row r="49">
      <c r="F49" s="81"/>
      <c r="J49" s="82"/>
    </row>
    <row r="50">
      <c r="F50" s="81"/>
      <c r="J50" s="82"/>
    </row>
    <row r="51">
      <c r="F51" s="81"/>
      <c r="J51" s="82"/>
    </row>
    <row r="52">
      <c r="F52" s="81"/>
      <c r="J52" s="82"/>
    </row>
    <row r="53">
      <c r="F53" s="81"/>
      <c r="J53" s="82"/>
    </row>
    <row r="54">
      <c r="F54" s="81"/>
      <c r="J54" s="82"/>
    </row>
    <row r="55">
      <c r="F55" s="81"/>
      <c r="J55" s="82"/>
    </row>
    <row r="56">
      <c r="F56" s="81"/>
      <c r="J56" s="82"/>
    </row>
    <row r="57">
      <c r="F57" s="81"/>
      <c r="J57" s="82"/>
    </row>
    <row r="58">
      <c r="F58" s="81"/>
      <c r="J58" s="82"/>
    </row>
    <row r="59">
      <c r="F59" s="81"/>
      <c r="J59" s="82"/>
    </row>
    <row r="60">
      <c r="F60" s="81"/>
      <c r="J60" s="82"/>
    </row>
    <row r="61">
      <c r="F61" s="81"/>
      <c r="J61" s="82"/>
    </row>
    <row r="62">
      <c r="F62" s="81"/>
      <c r="J62" s="82"/>
    </row>
    <row r="63">
      <c r="F63" s="81"/>
      <c r="J63" s="82"/>
    </row>
    <row r="64">
      <c r="F64" s="81"/>
      <c r="J64" s="82"/>
    </row>
    <row r="65">
      <c r="F65" s="81"/>
      <c r="J65" s="82"/>
    </row>
    <row r="66">
      <c r="F66" s="81"/>
      <c r="J66" s="82"/>
    </row>
    <row r="67">
      <c r="F67" s="81"/>
      <c r="J67" s="82"/>
    </row>
    <row r="68">
      <c r="F68" s="81"/>
      <c r="J68" s="82"/>
    </row>
    <row r="69">
      <c r="F69" s="81"/>
      <c r="J69" s="82"/>
    </row>
    <row r="70">
      <c r="F70" s="81"/>
      <c r="J70" s="82"/>
    </row>
    <row r="71">
      <c r="F71" s="81"/>
      <c r="J71" s="82"/>
    </row>
    <row r="72">
      <c r="F72" s="81"/>
      <c r="J72" s="82"/>
    </row>
    <row r="73">
      <c r="F73" s="81"/>
      <c r="J73" s="82"/>
    </row>
    <row r="74">
      <c r="F74" s="81"/>
      <c r="J74" s="82"/>
    </row>
    <row r="75">
      <c r="F75" s="81"/>
      <c r="J75" s="82"/>
    </row>
    <row r="76">
      <c r="F76" s="81"/>
      <c r="J76" s="82"/>
    </row>
    <row r="77">
      <c r="F77" s="81"/>
      <c r="J77" s="82"/>
    </row>
    <row r="78">
      <c r="F78" s="81"/>
      <c r="J78" s="82"/>
    </row>
    <row r="79">
      <c r="F79" s="81"/>
      <c r="J79" s="82"/>
    </row>
    <row r="80">
      <c r="F80" s="81"/>
      <c r="J80" s="82"/>
    </row>
    <row r="81">
      <c r="F81" s="81"/>
      <c r="J81" s="82"/>
    </row>
    <row r="82">
      <c r="F82" s="81"/>
      <c r="J82" s="82"/>
    </row>
    <row r="83">
      <c r="F83" s="81"/>
      <c r="J83" s="82"/>
    </row>
    <row r="84">
      <c r="F84" s="81"/>
      <c r="J84" s="82"/>
    </row>
    <row r="85">
      <c r="F85" s="81"/>
      <c r="J85" s="82"/>
    </row>
    <row r="86">
      <c r="F86" s="81"/>
      <c r="J86" s="82"/>
    </row>
    <row r="87">
      <c r="F87" s="81"/>
      <c r="J87" s="82"/>
    </row>
    <row r="88">
      <c r="F88" s="81"/>
      <c r="J88" s="82"/>
    </row>
    <row r="89">
      <c r="F89" s="81"/>
      <c r="J89" s="82"/>
    </row>
    <row r="90">
      <c r="F90" s="81"/>
      <c r="J90" s="82"/>
    </row>
    <row r="91">
      <c r="F91" s="81"/>
      <c r="J91" s="82"/>
    </row>
    <row r="92">
      <c r="F92" s="81"/>
      <c r="J92" s="82"/>
    </row>
    <row r="93">
      <c r="F93" s="81"/>
      <c r="J93" s="82"/>
    </row>
    <row r="94">
      <c r="F94" s="81"/>
      <c r="J94" s="82"/>
    </row>
    <row r="95">
      <c r="F95" s="81"/>
      <c r="J95" s="82"/>
    </row>
    <row r="96">
      <c r="F96" s="81"/>
      <c r="J96" s="82"/>
    </row>
    <row r="97">
      <c r="F97" s="81"/>
      <c r="J97" s="82"/>
    </row>
    <row r="98">
      <c r="F98" s="81"/>
      <c r="J98" s="82"/>
    </row>
    <row r="99">
      <c r="F99" s="81"/>
      <c r="J99" s="82"/>
    </row>
    <row r="100">
      <c r="F100" s="81"/>
      <c r="J100" s="82"/>
    </row>
    <row r="101">
      <c r="F101" s="81"/>
      <c r="J101" s="82"/>
    </row>
    <row r="102">
      <c r="F102" s="81"/>
      <c r="J102" s="82"/>
    </row>
    <row r="103">
      <c r="F103" s="81"/>
      <c r="J103" s="82"/>
    </row>
    <row r="104">
      <c r="F104" s="81"/>
      <c r="J104" s="82"/>
    </row>
    <row r="105">
      <c r="F105" s="81"/>
      <c r="J105" s="82"/>
    </row>
    <row r="106">
      <c r="F106" s="81"/>
      <c r="J106" s="82"/>
    </row>
    <row r="107">
      <c r="F107" s="81"/>
      <c r="J107" s="82"/>
    </row>
    <row r="108">
      <c r="F108" s="81"/>
      <c r="J108" s="82"/>
    </row>
    <row r="109">
      <c r="F109" s="81"/>
      <c r="J109" s="82"/>
    </row>
    <row r="110">
      <c r="F110" s="81"/>
      <c r="J110" s="82"/>
    </row>
    <row r="111">
      <c r="F111" s="81"/>
      <c r="J111" s="82"/>
    </row>
    <row r="112">
      <c r="F112" s="81"/>
      <c r="J112" s="82"/>
    </row>
    <row r="113">
      <c r="F113" s="81"/>
      <c r="J113" s="82"/>
    </row>
    <row r="114">
      <c r="F114" s="81"/>
      <c r="J114" s="82"/>
    </row>
    <row r="115">
      <c r="F115" s="81"/>
      <c r="J115" s="82"/>
    </row>
    <row r="116">
      <c r="F116" s="81"/>
      <c r="J116" s="82"/>
    </row>
    <row r="117">
      <c r="F117" s="81"/>
      <c r="J117" s="82"/>
    </row>
    <row r="118">
      <c r="F118" s="81"/>
      <c r="J118" s="82"/>
    </row>
    <row r="119">
      <c r="F119" s="81"/>
      <c r="J119" s="82"/>
    </row>
    <row r="120">
      <c r="F120" s="81"/>
      <c r="J120" s="82"/>
    </row>
    <row r="121">
      <c r="F121" s="81"/>
      <c r="J121" s="82"/>
    </row>
    <row r="122">
      <c r="F122" s="81"/>
      <c r="J122" s="82"/>
    </row>
    <row r="123">
      <c r="F123" s="81"/>
      <c r="J123" s="82"/>
    </row>
    <row r="124">
      <c r="F124" s="81"/>
      <c r="J124" s="82"/>
    </row>
    <row r="125">
      <c r="F125" s="81"/>
      <c r="J125" s="82"/>
    </row>
    <row r="126">
      <c r="F126" s="81"/>
      <c r="J126" s="82"/>
    </row>
    <row r="127">
      <c r="F127" s="81"/>
      <c r="J127" s="82"/>
    </row>
    <row r="128">
      <c r="F128" s="81"/>
      <c r="J128" s="82"/>
    </row>
    <row r="129">
      <c r="F129" s="81"/>
      <c r="J129" s="82"/>
    </row>
    <row r="130">
      <c r="F130" s="81"/>
      <c r="J130" s="82"/>
    </row>
    <row r="131">
      <c r="F131" s="81"/>
      <c r="J131" s="82"/>
    </row>
    <row r="132">
      <c r="F132" s="81"/>
      <c r="J132" s="82"/>
    </row>
    <row r="133">
      <c r="F133" s="81"/>
      <c r="J133" s="82"/>
    </row>
    <row r="134">
      <c r="F134" s="81"/>
      <c r="J134" s="82"/>
    </row>
    <row r="135">
      <c r="F135" s="81"/>
      <c r="J135" s="82"/>
    </row>
    <row r="136">
      <c r="F136" s="81"/>
      <c r="J136" s="82"/>
    </row>
    <row r="137">
      <c r="F137" s="81"/>
      <c r="J137" s="82"/>
    </row>
    <row r="138">
      <c r="F138" s="81"/>
      <c r="J138" s="82"/>
    </row>
    <row r="139">
      <c r="F139" s="81"/>
      <c r="J139" s="82"/>
    </row>
    <row r="140">
      <c r="F140" s="81"/>
      <c r="J140" s="82"/>
    </row>
    <row r="141">
      <c r="F141" s="81"/>
      <c r="J141" s="82"/>
    </row>
    <row r="142">
      <c r="F142" s="81"/>
      <c r="J142" s="82"/>
    </row>
    <row r="143">
      <c r="F143" s="81"/>
      <c r="J143" s="82"/>
    </row>
    <row r="144">
      <c r="F144" s="81"/>
      <c r="J144" s="82"/>
    </row>
    <row r="145">
      <c r="F145" s="81"/>
      <c r="J145" s="82"/>
    </row>
    <row r="146">
      <c r="F146" s="81"/>
      <c r="J146" s="82"/>
    </row>
    <row r="147">
      <c r="F147" s="81"/>
      <c r="J147" s="82"/>
    </row>
    <row r="148">
      <c r="F148" s="81"/>
      <c r="J148" s="82"/>
    </row>
    <row r="149">
      <c r="F149" s="81"/>
      <c r="J149" s="82"/>
    </row>
    <row r="150">
      <c r="F150" s="81"/>
      <c r="J150" s="82"/>
    </row>
    <row r="151">
      <c r="F151" s="81"/>
      <c r="J151" s="82"/>
    </row>
    <row r="152">
      <c r="F152" s="81"/>
      <c r="J152" s="82"/>
    </row>
    <row r="153">
      <c r="F153" s="81"/>
      <c r="J153" s="82"/>
    </row>
    <row r="154">
      <c r="F154" s="81"/>
      <c r="J154" s="82"/>
    </row>
    <row r="155">
      <c r="F155" s="81"/>
      <c r="J155" s="82"/>
    </row>
    <row r="156">
      <c r="F156" s="81"/>
      <c r="J156" s="82"/>
    </row>
    <row r="157">
      <c r="F157" s="81"/>
      <c r="J157" s="82"/>
    </row>
    <row r="158">
      <c r="F158" s="81"/>
      <c r="J158" s="82"/>
    </row>
    <row r="159">
      <c r="F159" s="81"/>
      <c r="J159" s="82"/>
    </row>
    <row r="160">
      <c r="F160" s="81"/>
      <c r="J160" s="82"/>
    </row>
    <row r="161">
      <c r="F161" s="81"/>
      <c r="J161" s="82"/>
    </row>
    <row r="162">
      <c r="F162" s="81"/>
      <c r="J162" s="82"/>
    </row>
    <row r="163">
      <c r="F163" s="81"/>
      <c r="J163" s="82"/>
    </row>
    <row r="164">
      <c r="F164" s="81"/>
      <c r="J164" s="82"/>
    </row>
    <row r="165">
      <c r="F165" s="81"/>
      <c r="J165" s="82"/>
    </row>
    <row r="166">
      <c r="F166" s="81"/>
      <c r="J166" s="82"/>
    </row>
    <row r="167">
      <c r="F167" s="81"/>
      <c r="J167" s="82"/>
    </row>
    <row r="168">
      <c r="F168" s="81"/>
      <c r="J168" s="82"/>
    </row>
    <row r="169">
      <c r="F169" s="81"/>
      <c r="J169" s="82"/>
    </row>
    <row r="170">
      <c r="F170" s="81"/>
      <c r="J170" s="82"/>
    </row>
    <row r="171">
      <c r="F171" s="81"/>
      <c r="J171" s="82"/>
    </row>
    <row r="172">
      <c r="F172" s="81"/>
      <c r="J172" s="82"/>
    </row>
    <row r="173">
      <c r="F173" s="81"/>
      <c r="J173" s="82"/>
    </row>
    <row r="174">
      <c r="F174" s="81"/>
      <c r="J174" s="82"/>
    </row>
    <row r="175">
      <c r="F175" s="81"/>
      <c r="J175" s="82"/>
    </row>
    <row r="176">
      <c r="F176" s="81"/>
      <c r="J176" s="82"/>
    </row>
    <row r="177">
      <c r="F177" s="81"/>
      <c r="J177" s="82"/>
    </row>
    <row r="178">
      <c r="F178" s="81"/>
      <c r="J178" s="82"/>
    </row>
    <row r="179">
      <c r="F179" s="81"/>
      <c r="J179" s="82"/>
    </row>
    <row r="180">
      <c r="F180" s="81"/>
      <c r="J180" s="82"/>
    </row>
    <row r="181">
      <c r="F181" s="81"/>
      <c r="J181" s="82"/>
    </row>
    <row r="182">
      <c r="F182" s="81"/>
      <c r="J182" s="82"/>
    </row>
    <row r="183">
      <c r="F183" s="81"/>
      <c r="J183" s="82"/>
    </row>
    <row r="184">
      <c r="F184" s="81"/>
      <c r="J184" s="82"/>
    </row>
    <row r="185">
      <c r="F185" s="81"/>
      <c r="J185" s="82"/>
    </row>
    <row r="186">
      <c r="F186" s="81"/>
      <c r="J186" s="82"/>
    </row>
    <row r="187">
      <c r="F187" s="81"/>
      <c r="J187" s="82"/>
    </row>
    <row r="188">
      <c r="F188" s="81"/>
      <c r="J188" s="82"/>
    </row>
    <row r="189">
      <c r="F189" s="81"/>
      <c r="J189" s="82"/>
    </row>
    <row r="190">
      <c r="F190" s="81"/>
      <c r="J190" s="82"/>
    </row>
    <row r="191">
      <c r="F191" s="81"/>
      <c r="J191" s="82"/>
    </row>
    <row r="192">
      <c r="F192" s="81"/>
      <c r="J192" s="82"/>
    </row>
    <row r="193">
      <c r="F193" s="81"/>
      <c r="J193" s="82"/>
    </row>
    <row r="194">
      <c r="F194" s="81"/>
      <c r="J194" s="82"/>
    </row>
    <row r="195">
      <c r="F195" s="81"/>
      <c r="J195" s="82"/>
    </row>
    <row r="196">
      <c r="F196" s="81"/>
      <c r="J196" s="82"/>
    </row>
    <row r="197">
      <c r="F197" s="81"/>
      <c r="J197" s="82"/>
    </row>
    <row r="198">
      <c r="F198" s="81"/>
      <c r="J198" s="82"/>
    </row>
    <row r="199">
      <c r="F199" s="81"/>
      <c r="J199" s="82"/>
    </row>
    <row r="200">
      <c r="F200" s="81"/>
      <c r="J200" s="82"/>
    </row>
    <row r="201">
      <c r="F201" s="81"/>
      <c r="J201" s="82"/>
    </row>
    <row r="202">
      <c r="F202" s="81"/>
      <c r="J202" s="82"/>
    </row>
    <row r="203">
      <c r="F203" s="81"/>
      <c r="J203" s="82"/>
    </row>
    <row r="204">
      <c r="F204" s="81"/>
      <c r="J204" s="82"/>
    </row>
    <row r="205">
      <c r="F205" s="81"/>
      <c r="J205" s="82"/>
    </row>
    <row r="206">
      <c r="F206" s="81"/>
      <c r="J206" s="82"/>
    </row>
    <row r="207">
      <c r="F207" s="81"/>
      <c r="J207" s="82"/>
    </row>
    <row r="208">
      <c r="F208" s="81"/>
      <c r="J208" s="82"/>
    </row>
    <row r="209">
      <c r="F209" s="81"/>
      <c r="J209" s="82"/>
    </row>
    <row r="210">
      <c r="F210" s="81"/>
      <c r="J210" s="82"/>
    </row>
    <row r="211">
      <c r="F211" s="81"/>
      <c r="J211" s="82"/>
    </row>
    <row r="212">
      <c r="F212" s="81"/>
      <c r="J212" s="82"/>
    </row>
    <row r="213">
      <c r="F213" s="81"/>
      <c r="J213" s="82"/>
    </row>
    <row r="214">
      <c r="F214" s="81"/>
      <c r="J214" s="82"/>
    </row>
    <row r="215">
      <c r="F215" s="81"/>
      <c r="J215" s="82"/>
    </row>
    <row r="216">
      <c r="F216" s="81"/>
      <c r="J216" s="82"/>
    </row>
    <row r="217">
      <c r="F217" s="81"/>
      <c r="J217" s="82"/>
    </row>
    <row r="218">
      <c r="F218" s="81"/>
      <c r="J218" s="82"/>
    </row>
    <row r="219">
      <c r="F219" s="81"/>
      <c r="J219" s="82"/>
    </row>
    <row r="220">
      <c r="F220" s="81"/>
      <c r="J220" s="82"/>
    </row>
    <row r="221">
      <c r="F221" s="81"/>
      <c r="J221" s="82"/>
    </row>
    <row r="222">
      <c r="F222" s="81"/>
      <c r="J222" s="82"/>
    </row>
    <row r="223">
      <c r="F223" s="81"/>
      <c r="J223" s="82"/>
    </row>
    <row r="224">
      <c r="F224" s="81"/>
      <c r="J224" s="82"/>
    </row>
    <row r="225">
      <c r="F225" s="81"/>
      <c r="J225" s="82"/>
    </row>
    <row r="226">
      <c r="F226" s="81"/>
      <c r="J226" s="82"/>
    </row>
    <row r="227">
      <c r="F227" s="81"/>
      <c r="J227" s="82"/>
    </row>
    <row r="228">
      <c r="F228" s="81"/>
      <c r="J228" s="82"/>
    </row>
    <row r="229">
      <c r="F229" s="81"/>
      <c r="J229" s="82"/>
    </row>
    <row r="230">
      <c r="F230" s="81"/>
      <c r="J230" s="82"/>
    </row>
    <row r="231">
      <c r="F231" s="81"/>
      <c r="J231" s="82"/>
    </row>
    <row r="232">
      <c r="F232" s="81"/>
      <c r="J232" s="82"/>
    </row>
    <row r="233">
      <c r="F233" s="81"/>
      <c r="J233" s="82"/>
    </row>
    <row r="234">
      <c r="F234" s="81"/>
      <c r="J234" s="82"/>
    </row>
    <row r="235">
      <c r="F235" s="81"/>
      <c r="J235" s="82"/>
    </row>
    <row r="236">
      <c r="F236" s="81"/>
      <c r="J236" s="82"/>
    </row>
    <row r="237">
      <c r="F237" s="81"/>
      <c r="J237" s="82"/>
    </row>
    <row r="238">
      <c r="F238" s="81"/>
      <c r="J238" s="82"/>
    </row>
    <row r="239">
      <c r="F239" s="81"/>
      <c r="J239" s="82"/>
    </row>
    <row r="240">
      <c r="F240" s="81"/>
      <c r="J240" s="82"/>
    </row>
    <row r="241">
      <c r="F241" s="81"/>
      <c r="J241" s="82"/>
    </row>
    <row r="242">
      <c r="F242" s="81"/>
      <c r="J242" s="82"/>
    </row>
    <row r="243">
      <c r="F243" s="81"/>
      <c r="J243" s="82"/>
    </row>
    <row r="244">
      <c r="F244" s="81"/>
      <c r="J244" s="82"/>
    </row>
    <row r="245">
      <c r="F245" s="81"/>
      <c r="J245" s="82"/>
    </row>
    <row r="246">
      <c r="F246" s="81"/>
      <c r="J246" s="82"/>
    </row>
    <row r="247">
      <c r="F247" s="81"/>
      <c r="J247" s="82"/>
    </row>
    <row r="248">
      <c r="F248" s="81"/>
      <c r="J248" s="82"/>
    </row>
    <row r="249">
      <c r="F249" s="81"/>
      <c r="J249" s="82"/>
    </row>
    <row r="250">
      <c r="F250" s="81"/>
      <c r="J250" s="82"/>
    </row>
    <row r="251">
      <c r="F251" s="81"/>
      <c r="J251" s="82"/>
    </row>
    <row r="252">
      <c r="F252" s="81"/>
      <c r="J252" s="82"/>
    </row>
    <row r="253">
      <c r="F253" s="81"/>
      <c r="J253" s="82"/>
    </row>
    <row r="254">
      <c r="F254" s="81"/>
      <c r="J254" s="82"/>
    </row>
    <row r="255">
      <c r="F255" s="81"/>
      <c r="J255" s="82"/>
    </row>
    <row r="256">
      <c r="F256" s="81"/>
      <c r="J256" s="82"/>
    </row>
    <row r="257">
      <c r="F257" s="81"/>
      <c r="J257" s="82"/>
    </row>
    <row r="258">
      <c r="F258" s="81"/>
      <c r="J258" s="82"/>
    </row>
    <row r="259">
      <c r="F259" s="81"/>
      <c r="J259" s="82"/>
    </row>
    <row r="260">
      <c r="F260" s="81"/>
      <c r="J260" s="82"/>
    </row>
    <row r="261">
      <c r="F261" s="81"/>
      <c r="J261" s="82"/>
    </row>
    <row r="262">
      <c r="F262" s="81"/>
      <c r="J262" s="82"/>
    </row>
    <row r="263">
      <c r="F263" s="81"/>
      <c r="J263" s="82"/>
    </row>
    <row r="264">
      <c r="F264" s="81"/>
      <c r="J264" s="82"/>
    </row>
    <row r="265">
      <c r="F265" s="81"/>
      <c r="J265" s="82"/>
    </row>
    <row r="266">
      <c r="F266" s="81"/>
      <c r="J266" s="82"/>
    </row>
    <row r="267">
      <c r="F267" s="81"/>
      <c r="J267" s="82"/>
    </row>
    <row r="268">
      <c r="F268" s="81"/>
      <c r="J268" s="82"/>
    </row>
    <row r="269">
      <c r="F269" s="81"/>
      <c r="J269" s="82"/>
    </row>
    <row r="270">
      <c r="F270" s="81"/>
      <c r="J270" s="82"/>
    </row>
    <row r="271">
      <c r="F271" s="81"/>
      <c r="J271" s="82"/>
    </row>
    <row r="272">
      <c r="F272" s="81"/>
      <c r="J272" s="82"/>
    </row>
    <row r="273">
      <c r="F273" s="81"/>
      <c r="J273" s="82"/>
    </row>
    <row r="274">
      <c r="F274" s="81"/>
      <c r="J274" s="82"/>
    </row>
    <row r="275">
      <c r="F275" s="81"/>
      <c r="J275" s="82"/>
    </row>
    <row r="276">
      <c r="F276" s="81"/>
      <c r="J276" s="82"/>
    </row>
    <row r="277">
      <c r="F277" s="81"/>
      <c r="J277" s="82"/>
    </row>
    <row r="278">
      <c r="F278" s="81"/>
      <c r="J278" s="82"/>
    </row>
    <row r="279">
      <c r="F279" s="81"/>
      <c r="J279" s="82"/>
    </row>
    <row r="280">
      <c r="F280" s="81"/>
      <c r="J280" s="82"/>
    </row>
    <row r="281">
      <c r="F281" s="81"/>
      <c r="J281" s="82"/>
    </row>
    <row r="282">
      <c r="F282" s="81"/>
      <c r="J282" s="82"/>
    </row>
    <row r="283">
      <c r="F283" s="81"/>
      <c r="J283" s="82"/>
    </row>
    <row r="284">
      <c r="F284" s="81"/>
      <c r="J284" s="82"/>
    </row>
    <row r="285">
      <c r="F285" s="81"/>
      <c r="J285" s="82"/>
    </row>
    <row r="286">
      <c r="F286" s="81"/>
      <c r="J286" s="82"/>
    </row>
    <row r="287">
      <c r="F287" s="81"/>
      <c r="J287" s="82"/>
    </row>
    <row r="288">
      <c r="F288" s="81"/>
      <c r="J288" s="82"/>
    </row>
    <row r="289">
      <c r="F289" s="81"/>
      <c r="J289" s="82"/>
    </row>
    <row r="290">
      <c r="F290" s="81"/>
      <c r="J290" s="82"/>
    </row>
    <row r="291">
      <c r="F291" s="81"/>
      <c r="J291" s="82"/>
    </row>
    <row r="292">
      <c r="F292" s="81"/>
      <c r="J292" s="82"/>
    </row>
    <row r="293">
      <c r="F293" s="81"/>
      <c r="J293" s="82"/>
    </row>
    <row r="294">
      <c r="F294" s="81"/>
      <c r="J294" s="82"/>
    </row>
    <row r="295">
      <c r="F295" s="81"/>
      <c r="J295" s="82"/>
    </row>
    <row r="296">
      <c r="F296" s="81"/>
      <c r="J296" s="82"/>
    </row>
    <row r="297">
      <c r="F297" s="81"/>
      <c r="J297" s="82"/>
    </row>
    <row r="298">
      <c r="F298" s="81"/>
      <c r="J298" s="82"/>
    </row>
    <row r="299">
      <c r="F299" s="81"/>
      <c r="J299" s="82"/>
    </row>
    <row r="300">
      <c r="F300" s="81"/>
      <c r="J300" s="82"/>
    </row>
    <row r="301">
      <c r="F301" s="81"/>
      <c r="J301" s="82"/>
    </row>
    <row r="302">
      <c r="F302" s="81"/>
      <c r="J302" s="82"/>
    </row>
    <row r="303">
      <c r="F303" s="81"/>
      <c r="J303" s="82"/>
    </row>
    <row r="304">
      <c r="F304" s="81"/>
      <c r="J304" s="82"/>
    </row>
    <row r="305">
      <c r="F305" s="81"/>
      <c r="J305" s="82"/>
    </row>
    <row r="306">
      <c r="F306" s="81"/>
      <c r="J306" s="82"/>
    </row>
    <row r="307">
      <c r="F307" s="81"/>
      <c r="J307" s="82"/>
    </row>
    <row r="308">
      <c r="F308" s="81"/>
      <c r="J308" s="82"/>
    </row>
    <row r="309">
      <c r="F309" s="81"/>
      <c r="J309" s="82"/>
    </row>
    <row r="310">
      <c r="F310" s="81"/>
      <c r="J310" s="82"/>
    </row>
    <row r="311">
      <c r="F311" s="81"/>
      <c r="J311" s="82"/>
    </row>
    <row r="312">
      <c r="F312" s="81"/>
      <c r="J312" s="82"/>
    </row>
    <row r="313">
      <c r="F313" s="81"/>
      <c r="J313" s="82"/>
    </row>
    <row r="314">
      <c r="F314" s="81"/>
      <c r="J314" s="82"/>
    </row>
    <row r="315">
      <c r="F315" s="81"/>
      <c r="J315" s="82"/>
    </row>
    <row r="316">
      <c r="F316" s="81"/>
      <c r="J316" s="82"/>
    </row>
    <row r="317">
      <c r="F317" s="81"/>
      <c r="J317" s="82"/>
    </row>
    <row r="318">
      <c r="F318" s="81"/>
      <c r="J318" s="82"/>
    </row>
    <row r="319">
      <c r="F319" s="81"/>
      <c r="J319" s="82"/>
    </row>
    <row r="320">
      <c r="F320" s="81"/>
      <c r="J320" s="82"/>
    </row>
    <row r="321">
      <c r="F321" s="81"/>
      <c r="J321" s="82"/>
    </row>
    <row r="322">
      <c r="F322" s="81"/>
      <c r="J322" s="82"/>
    </row>
    <row r="323">
      <c r="F323" s="81"/>
      <c r="J323" s="82"/>
    </row>
    <row r="324">
      <c r="F324" s="81"/>
      <c r="J324" s="82"/>
    </row>
    <row r="325">
      <c r="F325" s="81"/>
      <c r="J325" s="82"/>
    </row>
    <row r="326">
      <c r="F326" s="81"/>
      <c r="J326" s="82"/>
    </row>
    <row r="327">
      <c r="F327" s="81"/>
      <c r="J327" s="82"/>
    </row>
    <row r="328">
      <c r="F328" s="81"/>
      <c r="J328" s="82"/>
    </row>
    <row r="329">
      <c r="F329" s="81"/>
      <c r="J329" s="82"/>
    </row>
    <row r="330">
      <c r="F330" s="81"/>
      <c r="J330" s="82"/>
    </row>
    <row r="331">
      <c r="F331" s="81"/>
      <c r="J331" s="82"/>
    </row>
    <row r="332">
      <c r="F332" s="81"/>
      <c r="J332" s="82"/>
    </row>
    <row r="333">
      <c r="F333" s="81"/>
      <c r="J333" s="82"/>
    </row>
    <row r="334">
      <c r="F334" s="81"/>
      <c r="J334" s="82"/>
    </row>
    <row r="335">
      <c r="F335" s="81"/>
      <c r="J335" s="82"/>
    </row>
    <row r="336">
      <c r="F336" s="81"/>
      <c r="J336" s="82"/>
    </row>
    <row r="337">
      <c r="F337" s="81"/>
      <c r="J337" s="82"/>
    </row>
    <row r="338">
      <c r="F338" s="81"/>
      <c r="J338" s="82"/>
    </row>
    <row r="339">
      <c r="F339" s="81"/>
      <c r="J339" s="82"/>
    </row>
    <row r="340">
      <c r="F340" s="81"/>
      <c r="J340" s="82"/>
    </row>
    <row r="341">
      <c r="F341" s="81"/>
      <c r="J341" s="82"/>
    </row>
    <row r="342">
      <c r="F342" s="81"/>
      <c r="J342" s="82"/>
    </row>
    <row r="343">
      <c r="F343" s="81"/>
      <c r="J343" s="82"/>
    </row>
    <row r="344">
      <c r="F344" s="81"/>
      <c r="J344" s="82"/>
    </row>
    <row r="345">
      <c r="F345" s="81"/>
      <c r="J345" s="82"/>
    </row>
    <row r="346">
      <c r="F346" s="81"/>
      <c r="J346" s="82"/>
    </row>
    <row r="347">
      <c r="F347" s="81"/>
      <c r="J347" s="82"/>
    </row>
    <row r="348">
      <c r="F348" s="81"/>
      <c r="J348" s="82"/>
    </row>
    <row r="349">
      <c r="F349" s="81"/>
      <c r="J349" s="82"/>
    </row>
    <row r="350">
      <c r="F350" s="81"/>
      <c r="J350" s="82"/>
    </row>
    <row r="351">
      <c r="F351" s="81"/>
      <c r="J351" s="82"/>
    </row>
    <row r="352">
      <c r="F352" s="81"/>
      <c r="J352" s="82"/>
    </row>
    <row r="353">
      <c r="F353" s="81"/>
      <c r="J353" s="82"/>
    </row>
    <row r="354">
      <c r="F354" s="81"/>
      <c r="J354" s="82"/>
    </row>
    <row r="355">
      <c r="F355" s="81"/>
      <c r="J355" s="82"/>
    </row>
    <row r="356">
      <c r="F356" s="81"/>
      <c r="J356" s="82"/>
    </row>
    <row r="357">
      <c r="F357" s="81"/>
      <c r="J357" s="82"/>
    </row>
    <row r="358">
      <c r="F358" s="81"/>
      <c r="J358" s="82"/>
    </row>
    <row r="359">
      <c r="F359" s="81"/>
      <c r="J359" s="82"/>
    </row>
    <row r="360">
      <c r="F360" s="81"/>
      <c r="J360" s="82"/>
    </row>
    <row r="361">
      <c r="F361" s="81"/>
      <c r="J361" s="82"/>
    </row>
    <row r="362">
      <c r="F362" s="81"/>
      <c r="J362" s="82"/>
    </row>
    <row r="363">
      <c r="F363" s="81"/>
      <c r="J363" s="82"/>
    </row>
    <row r="364">
      <c r="F364" s="81"/>
      <c r="J364" s="82"/>
    </row>
    <row r="365">
      <c r="F365" s="81"/>
      <c r="J365" s="82"/>
    </row>
    <row r="366">
      <c r="F366" s="81"/>
      <c r="J366" s="82"/>
    </row>
    <row r="367">
      <c r="F367" s="81"/>
      <c r="J367" s="82"/>
    </row>
    <row r="368">
      <c r="F368" s="81"/>
      <c r="J368" s="82"/>
    </row>
    <row r="369">
      <c r="F369" s="81"/>
      <c r="J369" s="82"/>
    </row>
    <row r="370">
      <c r="F370" s="81"/>
      <c r="J370" s="82"/>
    </row>
    <row r="371">
      <c r="F371" s="81"/>
      <c r="J371" s="82"/>
    </row>
    <row r="372">
      <c r="F372" s="81"/>
      <c r="J372" s="82"/>
    </row>
    <row r="373">
      <c r="F373" s="81"/>
      <c r="J373" s="82"/>
    </row>
    <row r="374">
      <c r="F374" s="81"/>
      <c r="J374" s="82"/>
    </row>
    <row r="375">
      <c r="F375" s="81"/>
      <c r="J375" s="82"/>
    </row>
    <row r="376">
      <c r="F376" s="81"/>
      <c r="J376" s="82"/>
    </row>
    <row r="377">
      <c r="F377" s="81"/>
      <c r="J377" s="82"/>
    </row>
    <row r="378">
      <c r="F378" s="81"/>
      <c r="J378" s="82"/>
    </row>
    <row r="379">
      <c r="F379" s="81"/>
      <c r="J379" s="82"/>
    </row>
    <row r="380">
      <c r="F380" s="81"/>
      <c r="J380" s="82"/>
    </row>
    <row r="381">
      <c r="F381" s="81"/>
      <c r="J381" s="82"/>
    </row>
    <row r="382">
      <c r="F382" s="81"/>
      <c r="J382" s="82"/>
    </row>
    <row r="383">
      <c r="F383" s="81"/>
      <c r="J383" s="82"/>
    </row>
    <row r="384">
      <c r="F384" s="81"/>
      <c r="J384" s="82"/>
    </row>
    <row r="385">
      <c r="F385" s="81"/>
      <c r="J385" s="82"/>
    </row>
    <row r="386">
      <c r="F386" s="81"/>
      <c r="J386" s="82"/>
    </row>
    <row r="387">
      <c r="F387" s="81"/>
      <c r="J387" s="82"/>
    </row>
    <row r="388">
      <c r="F388" s="81"/>
      <c r="J388" s="82"/>
    </row>
    <row r="389">
      <c r="F389" s="81"/>
      <c r="J389" s="82"/>
    </row>
    <row r="390">
      <c r="F390" s="81"/>
      <c r="J390" s="82"/>
    </row>
    <row r="391">
      <c r="F391" s="81"/>
      <c r="J391" s="82"/>
    </row>
    <row r="392">
      <c r="F392" s="81"/>
      <c r="J392" s="82"/>
    </row>
    <row r="393">
      <c r="F393" s="81"/>
      <c r="J393" s="82"/>
    </row>
    <row r="394">
      <c r="F394" s="81"/>
      <c r="J394" s="82"/>
    </row>
    <row r="395">
      <c r="F395" s="81"/>
      <c r="J395" s="82"/>
    </row>
    <row r="396">
      <c r="F396" s="81"/>
      <c r="J396" s="82"/>
    </row>
    <row r="397">
      <c r="F397" s="81"/>
      <c r="J397" s="82"/>
    </row>
    <row r="398">
      <c r="F398" s="81"/>
      <c r="J398" s="82"/>
    </row>
    <row r="399">
      <c r="F399" s="81"/>
      <c r="J399" s="82"/>
    </row>
    <row r="400">
      <c r="F400" s="81"/>
      <c r="J400" s="82"/>
    </row>
    <row r="401">
      <c r="F401" s="81"/>
      <c r="J401" s="82"/>
    </row>
    <row r="402">
      <c r="F402" s="81"/>
      <c r="J402" s="82"/>
    </row>
    <row r="403">
      <c r="F403" s="81"/>
      <c r="J403" s="82"/>
    </row>
    <row r="404">
      <c r="F404" s="81"/>
      <c r="J404" s="82"/>
    </row>
    <row r="405">
      <c r="F405" s="81"/>
      <c r="J405" s="82"/>
    </row>
    <row r="406">
      <c r="F406" s="81"/>
      <c r="J406" s="82"/>
    </row>
    <row r="407">
      <c r="F407" s="81"/>
      <c r="J407" s="82"/>
    </row>
    <row r="408">
      <c r="F408" s="81"/>
      <c r="J408" s="82"/>
    </row>
    <row r="409">
      <c r="F409" s="81"/>
      <c r="J409" s="82"/>
    </row>
    <row r="410">
      <c r="F410" s="81"/>
      <c r="J410" s="82"/>
    </row>
    <row r="411">
      <c r="F411" s="81"/>
      <c r="J411" s="82"/>
    </row>
    <row r="412">
      <c r="F412" s="81"/>
      <c r="J412" s="82"/>
    </row>
    <row r="413">
      <c r="F413" s="81"/>
      <c r="J413" s="82"/>
    </row>
    <row r="414">
      <c r="F414" s="81"/>
      <c r="J414" s="82"/>
    </row>
    <row r="415">
      <c r="F415" s="81"/>
      <c r="J415" s="82"/>
    </row>
    <row r="416">
      <c r="F416" s="81"/>
      <c r="J416" s="82"/>
    </row>
    <row r="417">
      <c r="F417" s="81"/>
      <c r="J417" s="82"/>
    </row>
    <row r="418">
      <c r="F418" s="81"/>
      <c r="J418" s="82"/>
    </row>
    <row r="419">
      <c r="F419" s="81"/>
      <c r="J419" s="82"/>
    </row>
    <row r="420">
      <c r="F420" s="81"/>
      <c r="J420" s="82"/>
    </row>
    <row r="421">
      <c r="F421" s="81"/>
      <c r="J421" s="82"/>
    </row>
    <row r="422">
      <c r="F422" s="81"/>
      <c r="J422" s="82"/>
    </row>
    <row r="423">
      <c r="F423" s="81"/>
      <c r="J423" s="82"/>
    </row>
    <row r="424">
      <c r="F424" s="81"/>
      <c r="J424" s="82"/>
    </row>
    <row r="425">
      <c r="F425" s="81"/>
      <c r="J425" s="82"/>
    </row>
    <row r="426">
      <c r="F426" s="81"/>
      <c r="J426" s="82"/>
    </row>
    <row r="427">
      <c r="F427" s="81"/>
      <c r="J427" s="82"/>
    </row>
    <row r="428">
      <c r="F428" s="81"/>
      <c r="J428" s="82"/>
    </row>
    <row r="429">
      <c r="F429" s="81"/>
      <c r="J429" s="82"/>
    </row>
    <row r="430">
      <c r="F430" s="81"/>
      <c r="J430" s="82"/>
    </row>
    <row r="431">
      <c r="F431" s="81"/>
      <c r="J431" s="82"/>
    </row>
    <row r="432">
      <c r="F432" s="81"/>
      <c r="J432" s="82"/>
    </row>
    <row r="433">
      <c r="F433" s="81"/>
      <c r="J433" s="82"/>
    </row>
    <row r="434">
      <c r="F434" s="81"/>
      <c r="J434" s="82"/>
    </row>
    <row r="435">
      <c r="F435" s="81"/>
      <c r="J435" s="82"/>
    </row>
    <row r="436">
      <c r="F436" s="81"/>
      <c r="J436" s="82"/>
    </row>
    <row r="437">
      <c r="F437" s="81"/>
      <c r="J437" s="82"/>
    </row>
    <row r="438">
      <c r="F438" s="81"/>
      <c r="J438" s="82"/>
    </row>
    <row r="439">
      <c r="F439" s="81"/>
      <c r="J439" s="82"/>
    </row>
    <row r="440">
      <c r="F440" s="81"/>
      <c r="J440" s="82"/>
    </row>
    <row r="441">
      <c r="F441" s="81"/>
      <c r="J441" s="82"/>
    </row>
    <row r="442">
      <c r="F442" s="81"/>
      <c r="J442" s="82"/>
    </row>
    <row r="443">
      <c r="F443" s="81"/>
      <c r="J443" s="82"/>
    </row>
    <row r="444">
      <c r="F444" s="81"/>
      <c r="J444" s="82"/>
    </row>
    <row r="445">
      <c r="F445" s="81"/>
      <c r="J445" s="82"/>
    </row>
    <row r="446">
      <c r="F446" s="81"/>
      <c r="J446" s="82"/>
    </row>
    <row r="447">
      <c r="F447" s="81"/>
      <c r="J447" s="82"/>
    </row>
    <row r="448">
      <c r="F448" s="81"/>
      <c r="J448" s="82"/>
    </row>
    <row r="449">
      <c r="F449" s="81"/>
      <c r="J449" s="82"/>
    </row>
    <row r="450">
      <c r="F450" s="81"/>
      <c r="J450" s="82"/>
    </row>
    <row r="451">
      <c r="F451" s="81"/>
      <c r="J451" s="82"/>
    </row>
    <row r="452">
      <c r="F452" s="81"/>
      <c r="J452" s="82"/>
    </row>
    <row r="453">
      <c r="F453" s="81"/>
      <c r="J453" s="82"/>
    </row>
    <row r="454">
      <c r="F454" s="81"/>
      <c r="J454" s="82"/>
    </row>
    <row r="455">
      <c r="F455" s="81"/>
      <c r="J455" s="82"/>
    </row>
    <row r="456">
      <c r="F456" s="81"/>
      <c r="J456" s="82"/>
    </row>
    <row r="457">
      <c r="F457" s="81"/>
      <c r="J457" s="82"/>
    </row>
    <row r="458">
      <c r="F458" s="81"/>
      <c r="J458" s="82"/>
    </row>
    <row r="459">
      <c r="F459" s="81"/>
      <c r="J459" s="82"/>
    </row>
    <row r="460">
      <c r="F460" s="81"/>
      <c r="J460" s="82"/>
    </row>
    <row r="461">
      <c r="F461" s="81"/>
      <c r="J461" s="82"/>
    </row>
    <row r="462">
      <c r="F462" s="81"/>
      <c r="J462" s="82"/>
    </row>
    <row r="463">
      <c r="F463" s="81"/>
      <c r="J463" s="82"/>
    </row>
    <row r="464">
      <c r="F464" s="81"/>
      <c r="J464" s="82"/>
    </row>
    <row r="465">
      <c r="F465" s="81"/>
      <c r="J465" s="82"/>
    </row>
    <row r="466">
      <c r="F466" s="81"/>
      <c r="J466" s="82"/>
    </row>
    <row r="467">
      <c r="F467" s="81"/>
      <c r="J467" s="82"/>
    </row>
    <row r="468">
      <c r="F468" s="81"/>
      <c r="J468" s="82"/>
    </row>
    <row r="469">
      <c r="F469" s="81"/>
      <c r="J469" s="82"/>
    </row>
    <row r="470">
      <c r="F470" s="81"/>
      <c r="J470" s="82"/>
    </row>
    <row r="471">
      <c r="F471" s="81"/>
      <c r="J471" s="82"/>
    </row>
    <row r="472">
      <c r="F472" s="81"/>
      <c r="J472" s="82"/>
    </row>
    <row r="473">
      <c r="F473" s="81"/>
      <c r="J473" s="82"/>
    </row>
    <row r="474">
      <c r="F474" s="81"/>
      <c r="J474" s="82"/>
    </row>
    <row r="475">
      <c r="F475" s="81"/>
      <c r="J475" s="82"/>
    </row>
    <row r="476">
      <c r="F476" s="81"/>
      <c r="J476" s="82"/>
    </row>
    <row r="477">
      <c r="F477" s="81"/>
      <c r="J477" s="82"/>
    </row>
    <row r="478">
      <c r="F478" s="81"/>
      <c r="J478" s="82"/>
    </row>
    <row r="479">
      <c r="F479" s="81"/>
      <c r="J479" s="82"/>
    </row>
    <row r="480">
      <c r="F480" s="81"/>
      <c r="J480" s="82"/>
    </row>
    <row r="481">
      <c r="F481" s="81"/>
      <c r="J481" s="82"/>
    </row>
    <row r="482">
      <c r="F482" s="81"/>
      <c r="J482" s="82"/>
    </row>
    <row r="483">
      <c r="F483" s="81"/>
      <c r="J483" s="82"/>
    </row>
    <row r="484">
      <c r="F484" s="81"/>
      <c r="J484" s="82"/>
    </row>
    <row r="485">
      <c r="F485" s="81"/>
      <c r="J485" s="82"/>
    </row>
    <row r="486">
      <c r="F486" s="81"/>
      <c r="J486" s="82"/>
    </row>
    <row r="487">
      <c r="F487" s="81"/>
      <c r="J487" s="82"/>
    </row>
    <row r="488">
      <c r="F488" s="81"/>
      <c r="J488" s="82"/>
    </row>
    <row r="489">
      <c r="F489" s="81"/>
      <c r="J489" s="82"/>
    </row>
    <row r="490">
      <c r="F490" s="81"/>
      <c r="J490" s="82"/>
    </row>
    <row r="491">
      <c r="F491" s="81"/>
      <c r="J491" s="82"/>
    </row>
    <row r="492">
      <c r="F492" s="81"/>
      <c r="J492" s="82"/>
    </row>
    <row r="493">
      <c r="F493" s="81"/>
      <c r="J493" s="82"/>
    </row>
    <row r="494">
      <c r="F494" s="81"/>
      <c r="J494" s="82"/>
    </row>
    <row r="495">
      <c r="F495" s="81"/>
      <c r="J495" s="82"/>
    </row>
    <row r="496">
      <c r="F496" s="81"/>
      <c r="J496" s="82"/>
    </row>
    <row r="497">
      <c r="F497" s="81"/>
      <c r="J497" s="82"/>
    </row>
    <row r="498">
      <c r="F498" s="81"/>
      <c r="J498" s="82"/>
    </row>
    <row r="499">
      <c r="F499" s="81"/>
      <c r="J499" s="82"/>
    </row>
    <row r="500">
      <c r="F500" s="81"/>
      <c r="J500" s="82"/>
    </row>
    <row r="501">
      <c r="F501" s="81"/>
      <c r="J501" s="82"/>
    </row>
    <row r="502">
      <c r="F502" s="81"/>
      <c r="J502" s="82"/>
    </row>
    <row r="503">
      <c r="F503" s="81"/>
      <c r="J503" s="82"/>
    </row>
    <row r="504">
      <c r="F504" s="81"/>
      <c r="J504" s="82"/>
    </row>
    <row r="505">
      <c r="F505" s="81"/>
      <c r="J505" s="82"/>
    </row>
    <row r="506">
      <c r="F506" s="81"/>
      <c r="J506" s="82"/>
    </row>
    <row r="507">
      <c r="F507" s="81"/>
      <c r="J507" s="82"/>
    </row>
    <row r="508">
      <c r="F508" s="81"/>
      <c r="J508" s="82"/>
    </row>
    <row r="509">
      <c r="F509" s="81"/>
      <c r="J509" s="82"/>
    </row>
    <row r="510">
      <c r="F510" s="81"/>
      <c r="J510" s="82"/>
    </row>
    <row r="511">
      <c r="F511" s="81"/>
      <c r="J511" s="82"/>
    </row>
    <row r="512">
      <c r="F512" s="81"/>
      <c r="J512" s="82"/>
    </row>
    <row r="513">
      <c r="F513" s="81"/>
      <c r="J513" s="82"/>
    </row>
    <row r="514">
      <c r="F514" s="81"/>
      <c r="J514" s="82"/>
    </row>
    <row r="515">
      <c r="F515" s="81"/>
      <c r="J515" s="82"/>
    </row>
    <row r="516">
      <c r="F516" s="81"/>
      <c r="J516" s="82"/>
    </row>
    <row r="517">
      <c r="F517" s="81"/>
      <c r="J517" s="82"/>
    </row>
    <row r="518">
      <c r="F518" s="81"/>
      <c r="J518" s="82"/>
    </row>
    <row r="519">
      <c r="F519" s="81"/>
      <c r="J519" s="82"/>
    </row>
    <row r="520">
      <c r="F520" s="81"/>
      <c r="J520" s="82"/>
    </row>
    <row r="521">
      <c r="F521" s="81"/>
      <c r="J521" s="82"/>
    </row>
    <row r="522">
      <c r="F522" s="81"/>
      <c r="J522" s="82"/>
    </row>
    <row r="523">
      <c r="F523" s="81"/>
      <c r="J523" s="82"/>
    </row>
    <row r="524">
      <c r="F524" s="81"/>
      <c r="J524" s="82"/>
    </row>
    <row r="525">
      <c r="F525" s="81"/>
      <c r="J525" s="82"/>
    </row>
    <row r="526">
      <c r="F526" s="81"/>
      <c r="J526" s="82"/>
    </row>
    <row r="527">
      <c r="F527" s="81"/>
      <c r="J527" s="82"/>
    </row>
    <row r="528">
      <c r="F528" s="81"/>
      <c r="J528" s="82"/>
    </row>
    <row r="529">
      <c r="F529" s="81"/>
      <c r="J529" s="82"/>
    </row>
    <row r="530">
      <c r="F530" s="81"/>
      <c r="J530" s="82"/>
    </row>
    <row r="531">
      <c r="F531" s="81"/>
      <c r="J531" s="82"/>
    </row>
    <row r="532">
      <c r="F532" s="81"/>
      <c r="J532" s="82"/>
    </row>
    <row r="533">
      <c r="F533" s="81"/>
      <c r="J533" s="82"/>
    </row>
    <row r="534">
      <c r="F534" s="81"/>
      <c r="J534" s="82"/>
    </row>
    <row r="535">
      <c r="F535" s="81"/>
      <c r="J535" s="82"/>
    </row>
    <row r="536">
      <c r="F536" s="81"/>
      <c r="J536" s="82"/>
    </row>
    <row r="537">
      <c r="F537" s="81"/>
      <c r="J537" s="82"/>
    </row>
    <row r="538">
      <c r="F538" s="81"/>
      <c r="J538" s="82"/>
    </row>
    <row r="539">
      <c r="F539" s="81"/>
      <c r="J539" s="82"/>
    </row>
    <row r="540">
      <c r="F540" s="81"/>
      <c r="J540" s="82"/>
    </row>
    <row r="541">
      <c r="F541" s="81"/>
      <c r="J541" s="82"/>
    </row>
    <row r="542">
      <c r="F542" s="81"/>
      <c r="J542" s="82"/>
    </row>
    <row r="543">
      <c r="F543" s="81"/>
      <c r="J543" s="82"/>
    </row>
    <row r="544">
      <c r="F544" s="81"/>
      <c r="J544" s="82"/>
    </row>
    <row r="545">
      <c r="F545" s="81"/>
      <c r="J545" s="82"/>
    </row>
    <row r="546">
      <c r="F546" s="81"/>
      <c r="J546" s="82"/>
    </row>
    <row r="547">
      <c r="F547" s="81"/>
      <c r="J547" s="82"/>
    </row>
    <row r="548">
      <c r="F548" s="81"/>
      <c r="J548" s="82"/>
    </row>
    <row r="549">
      <c r="F549" s="81"/>
      <c r="J549" s="82"/>
    </row>
    <row r="550">
      <c r="F550" s="81"/>
      <c r="J550" s="82"/>
    </row>
    <row r="551">
      <c r="F551" s="81"/>
      <c r="J551" s="82"/>
    </row>
    <row r="552">
      <c r="F552" s="81"/>
      <c r="J552" s="82"/>
    </row>
    <row r="553">
      <c r="F553" s="81"/>
      <c r="J553" s="82"/>
    </row>
    <row r="554">
      <c r="F554" s="81"/>
      <c r="J554" s="82"/>
    </row>
    <row r="555">
      <c r="F555" s="81"/>
      <c r="J555" s="82"/>
    </row>
    <row r="556">
      <c r="F556" s="81"/>
      <c r="J556" s="82"/>
    </row>
    <row r="557">
      <c r="F557" s="81"/>
      <c r="J557" s="82"/>
    </row>
    <row r="558">
      <c r="F558" s="81"/>
      <c r="J558" s="82"/>
    </row>
    <row r="559">
      <c r="F559" s="81"/>
      <c r="J559" s="82"/>
    </row>
    <row r="560">
      <c r="F560" s="81"/>
      <c r="J560" s="82"/>
    </row>
    <row r="561">
      <c r="F561" s="81"/>
      <c r="J561" s="82"/>
    </row>
    <row r="562">
      <c r="F562" s="81"/>
      <c r="J562" s="82"/>
    </row>
    <row r="563">
      <c r="F563" s="81"/>
      <c r="J563" s="82"/>
    </row>
    <row r="564">
      <c r="F564" s="81"/>
      <c r="J564" s="82"/>
    </row>
    <row r="565">
      <c r="F565" s="81"/>
      <c r="J565" s="82"/>
    </row>
    <row r="566">
      <c r="F566" s="81"/>
      <c r="J566" s="82"/>
    </row>
    <row r="567">
      <c r="F567" s="81"/>
      <c r="J567" s="82"/>
    </row>
    <row r="568">
      <c r="F568" s="81"/>
      <c r="J568" s="82"/>
    </row>
    <row r="569">
      <c r="F569" s="81"/>
      <c r="J569" s="82"/>
    </row>
    <row r="570">
      <c r="F570" s="81"/>
      <c r="J570" s="82"/>
    </row>
    <row r="571">
      <c r="F571" s="81"/>
      <c r="J571" s="82"/>
    </row>
    <row r="572">
      <c r="F572" s="81"/>
      <c r="J572" s="82"/>
    </row>
    <row r="573">
      <c r="F573" s="81"/>
      <c r="J573" s="82"/>
    </row>
    <row r="574">
      <c r="F574" s="81"/>
      <c r="J574" s="82"/>
    </row>
    <row r="575">
      <c r="F575" s="81"/>
      <c r="J575" s="82"/>
    </row>
    <row r="576">
      <c r="F576" s="81"/>
      <c r="J576" s="82"/>
    </row>
    <row r="577">
      <c r="F577" s="81"/>
      <c r="J577" s="82"/>
    </row>
    <row r="578">
      <c r="F578" s="81"/>
      <c r="J578" s="82"/>
    </row>
    <row r="579">
      <c r="F579" s="81"/>
      <c r="J579" s="82"/>
    </row>
    <row r="580">
      <c r="F580" s="81"/>
      <c r="J580" s="82"/>
    </row>
    <row r="581">
      <c r="F581" s="81"/>
      <c r="J581" s="82"/>
    </row>
    <row r="582">
      <c r="F582" s="81"/>
      <c r="J582" s="82"/>
    </row>
    <row r="583">
      <c r="F583" s="81"/>
      <c r="J583" s="82"/>
    </row>
    <row r="584">
      <c r="F584" s="81"/>
      <c r="J584" s="82"/>
    </row>
    <row r="585">
      <c r="F585" s="81"/>
      <c r="J585" s="82"/>
    </row>
    <row r="586">
      <c r="F586" s="81"/>
      <c r="J586" s="82"/>
    </row>
    <row r="587">
      <c r="F587" s="81"/>
      <c r="J587" s="82"/>
    </row>
    <row r="588">
      <c r="F588" s="81"/>
      <c r="J588" s="82"/>
    </row>
    <row r="589">
      <c r="F589" s="81"/>
      <c r="J589" s="82"/>
    </row>
    <row r="590">
      <c r="F590" s="81"/>
      <c r="J590" s="82"/>
    </row>
    <row r="591">
      <c r="F591" s="81"/>
      <c r="J591" s="82"/>
    </row>
    <row r="592">
      <c r="F592" s="81"/>
      <c r="J592" s="82"/>
    </row>
    <row r="593">
      <c r="F593" s="81"/>
      <c r="J593" s="82"/>
    </row>
    <row r="594">
      <c r="F594" s="81"/>
      <c r="J594" s="82"/>
    </row>
    <row r="595">
      <c r="F595" s="81"/>
      <c r="J595" s="82"/>
    </row>
    <row r="596">
      <c r="F596" s="81"/>
      <c r="J596" s="82"/>
    </row>
    <row r="597">
      <c r="F597" s="81"/>
      <c r="J597" s="82"/>
    </row>
    <row r="598">
      <c r="F598" s="81"/>
      <c r="J598" s="82"/>
    </row>
    <row r="599">
      <c r="F599" s="81"/>
      <c r="J599" s="82"/>
    </row>
    <row r="600">
      <c r="F600" s="81"/>
      <c r="J600" s="82"/>
    </row>
    <row r="601">
      <c r="F601" s="81"/>
      <c r="J601" s="82"/>
    </row>
    <row r="602">
      <c r="F602" s="81"/>
      <c r="J602" s="82"/>
    </row>
    <row r="603">
      <c r="F603" s="81"/>
      <c r="J603" s="82"/>
    </row>
    <row r="604">
      <c r="F604" s="81"/>
      <c r="J604" s="82"/>
    </row>
    <row r="605">
      <c r="F605" s="81"/>
      <c r="J605" s="82"/>
    </row>
    <row r="606">
      <c r="F606" s="81"/>
      <c r="J606" s="82"/>
    </row>
    <row r="607">
      <c r="F607" s="81"/>
      <c r="J607" s="82"/>
    </row>
    <row r="608">
      <c r="F608" s="81"/>
      <c r="J608" s="82"/>
    </row>
    <row r="609">
      <c r="F609" s="81"/>
      <c r="J609" s="82"/>
    </row>
    <row r="610">
      <c r="F610" s="81"/>
      <c r="J610" s="82"/>
    </row>
    <row r="611">
      <c r="F611" s="81"/>
      <c r="J611" s="82"/>
    </row>
    <row r="612">
      <c r="F612" s="81"/>
      <c r="J612" s="82"/>
    </row>
    <row r="613">
      <c r="F613" s="81"/>
      <c r="J613" s="82"/>
    </row>
    <row r="614">
      <c r="F614" s="81"/>
      <c r="J614" s="82"/>
    </row>
    <row r="615">
      <c r="F615" s="81"/>
      <c r="J615" s="82"/>
    </row>
    <row r="616">
      <c r="F616" s="81"/>
      <c r="J616" s="82"/>
    </row>
    <row r="617">
      <c r="F617" s="81"/>
      <c r="J617" s="82"/>
    </row>
    <row r="618">
      <c r="F618" s="81"/>
      <c r="J618" s="82"/>
    </row>
    <row r="619">
      <c r="F619" s="81"/>
      <c r="J619" s="82"/>
    </row>
    <row r="620">
      <c r="F620" s="81"/>
      <c r="J620" s="82"/>
    </row>
    <row r="621">
      <c r="F621" s="81"/>
      <c r="J621" s="82"/>
    </row>
    <row r="622">
      <c r="F622" s="81"/>
      <c r="J622" s="82"/>
    </row>
    <row r="623">
      <c r="F623" s="81"/>
      <c r="J623" s="82"/>
    </row>
    <row r="624">
      <c r="F624" s="81"/>
      <c r="J624" s="82"/>
    </row>
    <row r="625">
      <c r="F625" s="81"/>
      <c r="J625" s="82"/>
    </row>
    <row r="626">
      <c r="F626" s="81"/>
      <c r="J626" s="82"/>
    </row>
    <row r="627">
      <c r="F627" s="81"/>
      <c r="J627" s="82"/>
    </row>
    <row r="628">
      <c r="F628" s="81"/>
      <c r="J628" s="82"/>
    </row>
    <row r="629">
      <c r="F629" s="81"/>
      <c r="J629" s="82"/>
    </row>
    <row r="630">
      <c r="F630" s="81"/>
      <c r="J630" s="82"/>
    </row>
    <row r="631">
      <c r="F631" s="81"/>
      <c r="J631" s="82"/>
    </row>
    <row r="632">
      <c r="F632" s="81"/>
      <c r="J632" s="82"/>
    </row>
    <row r="633">
      <c r="F633" s="81"/>
      <c r="J633" s="82"/>
    </row>
    <row r="634">
      <c r="F634" s="81"/>
      <c r="J634" s="82"/>
    </row>
    <row r="635">
      <c r="F635" s="81"/>
      <c r="J635" s="82"/>
    </row>
    <row r="636">
      <c r="F636" s="81"/>
      <c r="J636" s="82"/>
    </row>
    <row r="637">
      <c r="F637" s="81"/>
      <c r="J637" s="82"/>
    </row>
    <row r="638">
      <c r="F638" s="81"/>
      <c r="J638" s="82"/>
    </row>
    <row r="639">
      <c r="F639" s="81"/>
      <c r="J639" s="82"/>
    </row>
    <row r="640">
      <c r="F640" s="81"/>
      <c r="J640" s="82"/>
    </row>
    <row r="641">
      <c r="F641" s="81"/>
      <c r="J641" s="82"/>
    </row>
    <row r="642">
      <c r="F642" s="81"/>
      <c r="J642" s="82"/>
    </row>
    <row r="643">
      <c r="F643" s="81"/>
      <c r="J643" s="82"/>
    </row>
    <row r="644">
      <c r="F644" s="81"/>
      <c r="J644" s="82"/>
    </row>
    <row r="645">
      <c r="F645" s="81"/>
      <c r="J645" s="82"/>
    </row>
    <row r="646">
      <c r="F646" s="81"/>
      <c r="J646" s="82"/>
    </row>
    <row r="647">
      <c r="F647" s="81"/>
      <c r="J647" s="82"/>
    </row>
    <row r="648">
      <c r="F648" s="81"/>
      <c r="J648" s="82"/>
    </row>
    <row r="649">
      <c r="F649" s="81"/>
      <c r="J649" s="82"/>
    </row>
    <row r="650">
      <c r="F650" s="81"/>
      <c r="J650" s="82"/>
    </row>
    <row r="651">
      <c r="F651" s="81"/>
      <c r="J651" s="82"/>
    </row>
    <row r="652">
      <c r="F652" s="81"/>
      <c r="J652" s="82"/>
    </row>
    <row r="653">
      <c r="F653" s="81"/>
      <c r="J653" s="82"/>
    </row>
    <row r="654">
      <c r="F654" s="81"/>
      <c r="J654" s="82"/>
    </row>
    <row r="655">
      <c r="F655" s="81"/>
      <c r="J655" s="82"/>
    </row>
    <row r="656">
      <c r="F656" s="81"/>
      <c r="J656" s="82"/>
    </row>
    <row r="657">
      <c r="F657" s="81"/>
      <c r="J657" s="82"/>
    </row>
    <row r="658">
      <c r="F658" s="81"/>
      <c r="J658" s="82"/>
    </row>
    <row r="659">
      <c r="F659" s="81"/>
      <c r="J659" s="82"/>
    </row>
    <row r="660">
      <c r="F660" s="81"/>
      <c r="J660" s="82"/>
    </row>
    <row r="661">
      <c r="F661" s="81"/>
      <c r="J661" s="82"/>
    </row>
    <row r="662">
      <c r="F662" s="81"/>
      <c r="J662" s="82"/>
    </row>
    <row r="663">
      <c r="F663" s="81"/>
      <c r="J663" s="82"/>
    </row>
    <row r="664">
      <c r="F664" s="81"/>
      <c r="J664" s="82"/>
    </row>
    <row r="665">
      <c r="F665" s="81"/>
      <c r="J665" s="82"/>
    </row>
    <row r="666">
      <c r="F666" s="81"/>
      <c r="J666" s="82"/>
    </row>
    <row r="667">
      <c r="F667" s="81"/>
      <c r="J667" s="82"/>
    </row>
    <row r="668">
      <c r="F668" s="81"/>
      <c r="J668" s="82"/>
    </row>
    <row r="669">
      <c r="F669" s="81"/>
      <c r="J669" s="82"/>
    </row>
    <row r="670">
      <c r="F670" s="81"/>
      <c r="J670" s="82"/>
    </row>
    <row r="671">
      <c r="F671" s="81"/>
      <c r="J671" s="82"/>
    </row>
    <row r="672">
      <c r="F672" s="81"/>
      <c r="J672" s="82"/>
    </row>
    <row r="673">
      <c r="F673" s="81"/>
      <c r="J673" s="82"/>
    </row>
    <row r="674">
      <c r="F674" s="81"/>
      <c r="J674" s="82"/>
    </row>
    <row r="675">
      <c r="F675" s="81"/>
      <c r="J675" s="82"/>
    </row>
    <row r="676">
      <c r="F676" s="81"/>
      <c r="J676" s="82"/>
    </row>
    <row r="677">
      <c r="F677" s="81"/>
      <c r="J677" s="82"/>
    </row>
    <row r="678">
      <c r="F678" s="81"/>
      <c r="J678" s="82"/>
    </row>
    <row r="679">
      <c r="F679" s="81"/>
      <c r="J679" s="82"/>
    </row>
    <row r="680">
      <c r="F680" s="81"/>
      <c r="J680" s="82"/>
    </row>
    <row r="681">
      <c r="F681" s="81"/>
      <c r="J681" s="82"/>
    </row>
    <row r="682">
      <c r="F682" s="81"/>
      <c r="J682" s="82"/>
    </row>
    <row r="683">
      <c r="F683" s="81"/>
      <c r="J683" s="82"/>
    </row>
    <row r="684">
      <c r="F684" s="81"/>
      <c r="J684" s="82"/>
    </row>
    <row r="685">
      <c r="F685" s="81"/>
      <c r="J685" s="82"/>
    </row>
    <row r="686">
      <c r="F686" s="81"/>
      <c r="J686" s="82"/>
    </row>
    <row r="687">
      <c r="F687" s="81"/>
      <c r="J687" s="82"/>
    </row>
    <row r="688">
      <c r="F688" s="81"/>
      <c r="J688" s="82"/>
    </row>
    <row r="689">
      <c r="F689" s="81"/>
      <c r="J689" s="82"/>
    </row>
    <row r="690">
      <c r="F690" s="81"/>
      <c r="J690" s="82"/>
    </row>
    <row r="691">
      <c r="F691" s="81"/>
      <c r="J691" s="82"/>
    </row>
    <row r="692">
      <c r="F692" s="81"/>
      <c r="J692" s="82"/>
    </row>
    <row r="693">
      <c r="F693" s="81"/>
      <c r="J693" s="82"/>
    </row>
    <row r="694">
      <c r="F694" s="81"/>
      <c r="J694" s="82"/>
    </row>
    <row r="695">
      <c r="F695" s="81"/>
      <c r="J695" s="82"/>
    </row>
    <row r="696">
      <c r="F696" s="81"/>
      <c r="J696" s="82"/>
    </row>
    <row r="697">
      <c r="F697" s="81"/>
      <c r="J697" s="82"/>
    </row>
    <row r="698">
      <c r="F698" s="81"/>
      <c r="J698" s="82"/>
    </row>
    <row r="699">
      <c r="F699" s="81"/>
      <c r="J699" s="82"/>
    </row>
    <row r="700">
      <c r="F700" s="81"/>
      <c r="J700" s="82"/>
    </row>
    <row r="701">
      <c r="F701" s="81"/>
      <c r="J701" s="82"/>
    </row>
    <row r="702">
      <c r="F702" s="81"/>
      <c r="J702" s="82"/>
    </row>
    <row r="703">
      <c r="F703" s="81"/>
      <c r="J703" s="82"/>
    </row>
    <row r="704">
      <c r="F704" s="81"/>
      <c r="J704" s="82"/>
    </row>
    <row r="705">
      <c r="F705" s="81"/>
      <c r="J705" s="82"/>
    </row>
    <row r="706">
      <c r="F706" s="81"/>
      <c r="J706" s="82"/>
    </row>
    <row r="707">
      <c r="F707" s="81"/>
      <c r="J707" s="82"/>
    </row>
    <row r="708">
      <c r="F708" s="81"/>
      <c r="J708" s="82"/>
    </row>
    <row r="709">
      <c r="F709" s="81"/>
      <c r="J709" s="82"/>
    </row>
    <row r="710">
      <c r="F710" s="81"/>
      <c r="J710" s="82"/>
    </row>
    <row r="711">
      <c r="F711" s="81"/>
      <c r="J711" s="82"/>
    </row>
    <row r="712">
      <c r="F712" s="81"/>
      <c r="J712" s="82"/>
    </row>
    <row r="713">
      <c r="F713" s="81"/>
      <c r="J713" s="82"/>
    </row>
    <row r="714">
      <c r="F714" s="81"/>
      <c r="J714" s="82"/>
    </row>
    <row r="715">
      <c r="F715" s="81"/>
      <c r="J715" s="82"/>
    </row>
    <row r="716">
      <c r="F716" s="81"/>
      <c r="J716" s="82"/>
    </row>
    <row r="717">
      <c r="F717" s="81"/>
      <c r="J717" s="82"/>
    </row>
    <row r="718">
      <c r="F718" s="81"/>
      <c r="J718" s="82"/>
    </row>
    <row r="719">
      <c r="F719" s="81"/>
      <c r="J719" s="82"/>
    </row>
    <row r="720">
      <c r="F720" s="81"/>
      <c r="J720" s="82"/>
    </row>
    <row r="721">
      <c r="F721" s="81"/>
      <c r="J721" s="82"/>
    </row>
    <row r="722">
      <c r="F722" s="81"/>
      <c r="J722" s="82"/>
    </row>
    <row r="723">
      <c r="F723" s="81"/>
      <c r="J723" s="82"/>
    </row>
    <row r="724">
      <c r="F724" s="81"/>
      <c r="J724" s="82"/>
    </row>
    <row r="725">
      <c r="F725" s="81"/>
      <c r="J725" s="82"/>
    </row>
    <row r="726">
      <c r="F726" s="81"/>
      <c r="J726" s="82"/>
    </row>
    <row r="727">
      <c r="F727" s="81"/>
      <c r="J727" s="82"/>
    </row>
    <row r="728">
      <c r="F728" s="81"/>
      <c r="J728" s="82"/>
    </row>
    <row r="729">
      <c r="F729" s="81"/>
      <c r="J729" s="82"/>
    </row>
    <row r="730">
      <c r="F730" s="81"/>
      <c r="J730" s="82"/>
    </row>
    <row r="731">
      <c r="F731" s="81"/>
      <c r="J731" s="82"/>
    </row>
    <row r="732">
      <c r="F732" s="81"/>
      <c r="J732" s="82"/>
    </row>
    <row r="733">
      <c r="F733" s="81"/>
      <c r="J733" s="82"/>
    </row>
    <row r="734">
      <c r="F734" s="81"/>
      <c r="J734" s="82"/>
    </row>
    <row r="735">
      <c r="F735" s="81"/>
      <c r="J735" s="82"/>
    </row>
    <row r="736">
      <c r="F736" s="81"/>
      <c r="J736" s="82"/>
    </row>
    <row r="737">
      <c r="F737" s="81"/>
      <c r="J737" s="82"/>
    </row>
    <row r="738">
      <c r="F738" s="81"/>
      <c r="J738" s="82"/>
    </row>
    <row r="739">
      <c r="F739" s="81"/>
      <c r="J739" s="82"/>
    </row>
    <row r="740">
      <c r="F740" s="81"/>
      <c r="J740" s="82"/>
    </row>
    <row r="741">
      <c r="F741" s="81"/>
      <c r="J741" s="82"/>
    </row>
    <row r="742">
      <c r="F742" s="81"/>
      <c r="J742" s="82"/>
    </row>
    <row r="743">
      <c r="F743" s="81"/>
      <c r="J743" s="82"/>
    </row>
    <row r="744">
      <c r="F744" s="81"/>
      <c r="J744" s="82"/>
    </row>
    <row r="745">
      <c r="F745" s="81"/>
      <c r="J745" s="82"/>
    </row>
    <row r="746">
      <c r="F746" s="81"/>
      <c r="J746" s="82"/>
    </row>
    <row r="747">
      <c r="F747" s="81"/>
      <c r="J747" s="82"/>
    </row>
    <row r="748">
      <c r="F748" s="81"/>
      <c r="J748" s="82"/>
    </row>
    <row r="749">
      <c r="F749" s="81"/>
      <c r="J749" s="82"/>
    </row>
    <row r="750">
      <c r="F750" s="81"/>
      <c r="J750" s="82"/>
    </row>
    <row r="751">
      <c r="F751" s="81"/>
      <c r="J751" s="82"/>
    </row>
    <row r="752">
      <c r="F752" s="81"/>
      <c r="J752" s="82"/>
    </row>
    <row r="753">
      <c r="F753" s="81"/>
      <c r="J753" s="82"/>
    </row>
    <row r="754">
      <c r="F754" s="81"/>
      <c r="J754" s="82"/>
    </row>
    <row r="755">
      <c r="F755" s="81"/>
      <c r="J755" s="82"/>
    </row>
    <row r="756">
      <c r="F756" s="81"/>
      <c r="J756" s="82"/>
    </row>
    <row r="757">
      <c r="F757" s="81"/>
      <c r="J757" s="82"/>
    </row>
    <row r="758">
      <c r="F758" s="81"/>
      <c r="J758" s="82"/>
    </row>
    <row r="759">
      <c r="F759" s="81"/>
      <c r="J759" s="82"/>
    </row>
    <row r="760">
      <c r="F760" s="81"/>
      <c r="J760" s="82"/>
    </row>
    <row r="761">
      <c r="F761" s="81"/>
      <c r="J761" s="82"/>
    </row>
    <row r="762">
      <c r="F762" s="81"/>
      <c r="J762" s="82"/>
    </row>
    <row r="763">
      <c r="F763" s="81"/>
      <c r="J763" s="82"/>
    </row>
    <row r="764">
      <c r="F764" s="81"/>
      <c r="J764" s="82"/>
    </row>
    <row r="765">
      <c r="F765" s="81"/>
      <c r="J765" s="82"/>
    </row>
    <row r="766">
      <c r="F766" s="81"/>
      <c r="J766" s="82"/>
    </row>
    <row r="767">
      <c r="F767" s="81"/>
      <c r="J767" s="82"/>
    </row>
    <row r="768">
      <c r="F768" s="81"/>
      <c r="J768" s="82"/>
    </row>
    <row r="769">
      <c r="F769" s="81"/>
      <c r="J769" s="82"/>
    </row>
    <row r="770">
      <c r="F770" s="81"/>
      <c r="J770" s="82"/>
    </row>
    <row r="771">
      <c r="F771" s="81"/>
      <c r="J771" s="82"/>
    </row>
    <row r="772">
      <c r="F772" s="81"/>
      <c r="J772" s="82"/>
    </row>
    <row r="773">
      <c r="F773" s="81"/>
      <c r="J773" s="82"/>
    </row>
    <row r="774">
      <c r="F774" s="81"/>
      <c r="J774" s="82"/>
    </row>
    <row r="775">
      <c r="F775" s="81"/>
      <c r="J775" s="82"/>
    </row>
    <row r="776">
      <c r="F776" s="81"/>
      <c r="J776" s="82"/>
    </row>
    <row r="777">
      <c r="F777" s="81"/>
      <c r="J777" s="82"/>
    </row>
    <row r="778">
      <c r="F778" s="81"/>
      <c r="J778" s="82"/>
    </row>
    <row r="779">
      <c r="F779" s="81"/>
      <c r="J779" s="82"/>
    </row>
    <row r="780">
      <c r="F780" s="81"/>
      <c r="J780" s="82"/>
    </row>
    <row r="781">
      <c r="F781" s="81"/>
      <c r="J781" s="82"/>
    </row>
    <row r="782">
      <c r="F782" s="81"/>
      <c r="J782" s="82"/>
    </row>
    <row r="783">
      <c r="F783" s="81"/>
      <c r="J783" s="82"/>
    </row>
    <row r="784">
      <c r="F784" s="81"/>
      <c r="J784" s="82"/>
    </row>
    <row r="785">
      <c r="F785" s="81"/>
      <c r="J785" s="82"/>
    </row>
    <row r="786">
      <c r="F786" s="81"/>
      <c r="J786" s="82"/>
    </row>
    <row r="787">
      <c r="F787" s="81"/>
      <c r="J787" s="82"/>
    </row>
    <row r="788">
      <c r="F788" s="81"/>
      <c r="J788" s="82"/>
    </row>
    <row r="789">
      <c r="F789" s="81"/>
      <c r="J789" s="82"/>
    </row>
    <row r="790">
      <c r="F790" s="81"/>
      <c r="J790" s="82"/>
    </row>
    <row r="791">
      <c r="F791" s="81"/>
      <c r="J791" s="82"/>
    </row>
    <row r="792">
      <c r="F792" s="81"/>
      <c r="J792" s="82"/>
    </row>
    <row r="793">
      <c r="F793" s="81"/>
      <c r="J793" s="82"/>
    </row>
    <row r="794">
      <c r="F794" s="81"/>
      <c r="J794" s="82"/>
    </row>
    <row r="795">
      <c r="F795" s="81"/>
      <c r="J795" s="82"/>
    </row>
    <row r="796">
      <c r="F796" s="81"/>
      <c r="J796" s="82"/>
    </row>
    <row r="797">
      <c r="F797" s="81"/>
      <c r="J797" s="82"/>
    </row>
    <row r="798">
      <c r="F798" s="81"/>
      <c r="J798" s="82"/>
    </row>
    <row r="799">
      <c r="F799" s="81"/>
      <c r="J799" s="82"/>
    </row>
    <row r="800">
      <c r="F800" s="81"/>
      <c r="J800" s="82"/>
    </row>
    <row r="801">
      <c r="F801" s="81"/>
      <c r="J801" s="82"/>
    </row>
    <row r="802">
      <c r="F802" s="81"/>
      <c r="J802" s="82"/>
    </row>
    <row r="803">
      <c r="F803" s="81"/>
      <c r="J803" s="82"/>
    </row>
    <row r="804">
      <c r="F804" s="81"/>
      <c r="J804" s="82"/>
    </row>
    <row r="805">
      <c r="F805" s="81"/>
      <c r="J805" s="82"/>
    </row>
    <row r="806">
      <c r="F806" s="81"/>
      <c r="J806" s="82"/>
    </row>
    <row r="807">
      <c r="F807" s="81"/>
      <c r="J807" s="82"/>
    </row>
    <row r="808">
      <c r="F808" s="81"/>
      <c r="J808" s="82"/>
    </row>
    <row r="809">
      <c r="F809" s="81"/>
      <c r="J809" s="82"/>
    </row>
    <row r="810">
      <c r="F810" s="81"/>
      <c r="J810" s="82"/>
    </row>
    <row r="811">
      <c r="F811" s="81"/>
      <c r="J811" s="82"/>
    </row>
    <row r="812">
      <c r="F812" s="81"/>
      <c r="J812" s="82"/>
    </row>
    <row r="813">
      <c r="F813" s="81"/>
      <c r="J813" s="82"/>
    </row>
    <row r="814">
      <c r="F814" s="81"/>
      <c r="J814" s="82"/>
    </row>
    <row r="815">
      <c r="F815" s="81"/>
      <c r="J815" s="82"/>
    </row>
    <row r="816">
      <c r="F816" s="81"/>
      <c r="J816" s="82"/>
    </row>
    <row r="817">
      <c r="F817" s="81"/>
      <c r="J817" s="82"/>
    </row>
    <row r="818">
      <c r="F818" s="81"/>
      <c r="J818" s="82"/>
    </row>
    <row r="819">
      <c r="F819" s="81"/>
      <c r="J819" s="82"/>
    </row>
    <row r="820">
      <c r="F820" s="81"/>
      <c r="J820" s="82"/>
    </row>
    <row r="821">
      <c r="F821" s="81"/>
      <c r="J821" s="82"/>
    </row>
    <row r="822">
      <c r="F822" s="81"/>
      <c r="J822" s="82"/>
    </row>
    <row r="823">
      <c r="F823" s="81"/>
      <c r="J823" s="82"/>
    </row>
    <row r="824">
      <c r="F824" s="81"/>
      <c r="J824" s="82"/>
    </row>
    <row r="825">
      <c r="F825" s="81"/>
      <c r="J825" s="82"/>
    </row>
    <row r="826">
      <c r="F826" s="81"/>
      <c r="J826" s="82"/>
    </row>
    <row r="827">
      <c r="F827" s="81"/>
      <c r="J827" s="82"/>
    </row>
    <row r="828">
      <c r="F828" s="81"/>
      <c r="J828" s="82"/>
    </row>
    <row r="829">
      <c r="F829" s="81"/>
      <c r="J829" s="82"/>
    </row>
    <row r="830">
      <c r="F830" s="81"/>
      <c r="J830" s="82"/>
    </row>
    <row r="831">
      <c r="F831" s="81"/>
      <c r="J831" s="82"/>
    </row>
    <row r="832">
      <c r="F832" s="81"/>
      <c r="J832" s="82"/>
    </row>
    <row r="833">
      <c r="F833" s="81"/>
      <c r="J833" s="82"/>
    </row>
    <row r="834">
      <c r="F834" s="81"/>
      <c r="J834" s="82"/>
    </row>
    <row r="835">
      <c r="F835" s="81"/>
      <c r="J835" s="82"/>
    </row>
    <row r="836">
      <c r="F836" s="81"/>
      <c r="J836" s="82"/>
    </row>
    <row r="837">
      <c r="F837" s="81"/>
      <c r="J837" s="82"/>
    </row>
    <row r="838">
      <c r="F838" s="81"/>
      <c r="J838" s="82"/>
    </row>
    <row r="839">
      <c r="F839" s="81"/>
      <c r="J839" s="82"/>
    </row>
    <row r="840">
      <c r="F840" s="81"/>
      <c r="J840" s="82"/>
    </row>
    <row r="841">
      <c r="F841" s="81"/>
      <c r="J841" s="82"/>
    </row>
    <row r="842">
      <c r="F842" s="81"/>
      <c r="J842" s="82"/>
    </row>
    <row r="843">
      <c r="F843" s="81"/>
      <c r="J843" s="82"/>
    </row>
    <row r="844">
      <c r="F844" s="81"/>
      <c r="J844" s="82"/>
    </row>
    <row r="845">
      <c r="F845" s="81"/>
      <c r="J845" s="82"/>
    </row>
    <row r="846">
      <c r="F846" s="81"/>
      <c r="J846" s="82"/>
    </row>
    <row r="847">
      <c r="F847" s="81"/>
      <c r="J847" s="82"/>
    </row>
    <row r="848">
      <c r="F848" s="81"/>
      <c r="J848" s="82"/>
    </row>
    <row r="849">
      <c r="F849" s="81"/>
      <c r="J849" s="82"/>
    </row>
    <row r="850">
      <c r="F850" s="81"/>
      <c r="J850" s="82"/>
    </row>
    <row r="851">
      <c r="F851" s="81"/>
      <c r="J851" s="82"/>
    </row>
    <row r="852">
      <c r="F852" s="81"/>
      <c r="J852" s="82"/>
    </row>
    <row r="853">
      <c r="F853" s="81"/>
      <c r="J853" s="82"/>
    </row>
    <row r="854">
      <c r="F854" s="81"/>
      <c r="J854" s="82"/>
    </row>
    <row r="855">
      <c r="F855" s="81"/>
      <c r="J855" s="82"/>
    </row>
    <row r="856">
      <c r="F856" s="81"/>
      <c r="J856" s="82"/>
    </row>
    <row r="857">
      <c r="F857" s="81"/>
      <c r="J857" s="82"/>
    </row>
    <row r="858">
      <c r="F858" s="81"/>
      <c r="J858" s="82"/>
    </row>
    <row r="859">
      <c r="F859" s="81"/>
      <c r="J859" s="82"/>
    </row>
    <row r="860">
      <c r="F860" s="81"/>
      <c r="J860" s="82"/>
    </row>
    <row r="861">
      <c r="F861" s="81"/>
      <c r="J861" s="82"/>
    </row>
    <row r="862">
      <c r="F862" s="81"/>
      <c r="J862" s="82"/>
    </row>
    <row r="863">
      <c r="F863" s="81"/>
      <c r="J863" s="82"/>
    </row>
    <row r="864">
      <c r="F864" s="81"/>
      <c r="J864" s="82"/>
    </row>
    <row r="865">
      <c r="F865" s="81"/>
      <c r="J865" s="82"/>
    </row>
    <row r="866">
      <c r="F866" s="81"/>
      <c r="J866" s="82"/>
    </row>
    <row r="867">
      <c r="F867" s="81"/>
      <c r="J867" s="82"/>
    </row>
    <row r="868">
      <c r="F868" s="81"/>
      <c r="J868" s="82"/>
    </row>
    <row r="869">
      <c r="F869" s="81"/>
      <c r="J869" s="82"/>
    </row>
    <row r="870">
      <c r="F870" s="81"/>
      <c r="J870" s="82"/>
    </row>
    <row r="871">
      <c r="F871" s="81"/>
      <c r="J871" s="82"/>
    </row>
    <row r="872">
      <c r="F872" s="81"/>
      <c r="J872" s="82"/>
    </row>
    <row r="873">
      <c r="F873" s="81"/>
      <c r="J873" s="82"/>
    </row>
    <row r="874">
      <c r="F874" s="81"/>
      <c r="J874" s="82"/>
    </row>
    <row r="875">
      <c r="F875" s="81"/>
      <c r="J875" s="82"/>
    </row>
    <row r="876">
      <c r="F876" s="81"/>
      <c r="J876" s="82"/>
    </row>
    <row r="877">
      <c r="F877" s="81"/>
      <c r="J877" s="82"/>
    </row>
    <row r="878">
      <c r="F878" s="81"/>
      <c r="J878" s="82"/>
    </row>
    <row r="879">
      <c r="F879" s="81"/>
      <c r="J879" s="82"/>
    </row>
    <row r="880">
      <c r="F880" s="81"/>
      <c r="J880" s="82"/>
    </row>
    <row r="881">
      <c r="F881" s="81"/>
      <c r="J881" s="82"/>
    </row>
    <row r="882">
      <c r="F882" s="81"/>
      <c r="J882" s="82"/>
    </row>
    <row r="883">
      <c r="F883" s="81"/>
      <c r="J883" s="82"/>
    </row>
    <row r="884">
      <c r="F884" s="81"/>
      <c r="J884" s="82"/>
    </row>
    <row r="885">
      <c r="F885" s="81"/>
      <c r="J885" s="82"/>
    </row>
    <row r="886">
      <c r="F886" s="81"/>
      <c r="J886" s="82"/>
    </row>
    <row r="887">
      <c r="F887" s="81"/>
      <c r="J887" s="82"/>
    </row>
    <row r="888">
      <c r="F888" s="81"/>
      <c r="J888" s="82"/>
    </row>
    <row r="889">
      <c r="F889" s="81"/>
      <c r="J889" s="82"/>
    </row>
    <row r="890">
      <c r="F890" s="81"/>
      <c r="J890" s="82"/>
    </row>
    <row r="891">
      <c r="F891" s="81"/>
      <c r="J891" s="82"/>
    </row>
    <row r="892">
      <c r="F892" s="81"/>
      <c r="J892" s="82"/>
    </row>
    <row r="893">
      <c r="F893" s="81"/>
      <c r="J893" s="82"/>
    </row>
    <row r="894">
      <c r="F894" s="81"/>
      <c r="J894" s="82"/>
    </row>
    <row r="895">
      <c r="F895" s="81"/>
      <c r="J895" s="82"/>
    </row>
    <row r="896">
      <c r="F896" s="81"/>
      <c r="J896" s="82"/>
    </row>
    <row r="897">
      <c r="F897" s="81"/>
      <c r="J897" s="82"/>
    </row>
    <row r="898">
      <c r="F898" s="81"/>
      <c r="J898" s="82"/>
    </row>
    <row r="899">
      <c r="F899" s="81"/>
      <c r="J899" s="82"/>
    </row>
    <row r="900">
      <c r="F900" s="81"/>
      <c r="J900" s="82"/>
    </row>
    <row r="901">
      <c r="F901" s="81"/>
      <c r="J901" s="82"/>
    </row>
    <row r="902">
      <c r="F902" s="81"/>
      <c r="J902" s="82"/>
    </row>
    <row r="903">
      <c r="F903" s="81"/>
      <c r="J903" s="82"/>
    </row>
    <row r="904">
      <c r="F904" s="81"/>
      <c r="J904" s="82"/>
    </row>
    <row r="905">
      <c r="F905" s="81"/>
      <c r="J905" s="82"/>
    </row>
    <row r="906">
      <c r="F906" s="81"/>
      <c r="J906" s="82"/>
    </row>
    <row r="907">
      <c r="F907" s="81"/>
      <c r="J907" s="82"/>
    </row>
    <row r="908">
      <c r="F908" s="81"/>
      <c r="J908" s="82"/>
    </row>
    <row r="909">
      <c r="F909" s="81"/>
      <c r="J909" s="82"/>
    </row>
    <row r="910">
      <c r="F910" s="81"/>
      <c r="J910" s="82"/>
    </row>
    <row r="911">
      <c r="F911" s="81"/>
      <c r="J911" s="82"/>
    </row>
    <row r="912">
      <c r="F912" s="81"/>
      <c r="J912" s="82"/>
    </row>
    <row r="913">
      <c r="F913" s="81"/>
      <c r="J913" s="82"/>
    </row>
    <row r="914">
      <c r="F914" s="81"/>
      <c r="J914" s="82"/>
    </row>
    <row r="915">
      <c r="F915" s="81"/>
      <c r="J915" s="82"/>
    </row>
    <row r="916">
      <c r="F916" s="81"/>
      <c r="J916" s="82"/>
    </row>
    <row r="917">
      <c r="F917" s="81"/>
      <c r="J917" s="82"/>
    </row>
    <row r="918">
      <c r="F918" s="81"/>
      <c r="J918" s="82"/>
    </row>
    <row r="919">
      <c r="F919" s="81"/>
      <c r="J919" s="82"/>
    </row>
    <row r="920">
      <c r="F920" s="81"/>
      <c r="J920" s="82"/>
    </row>
    <row r="921">
      <c r="F921" s="81"/>
      <c r="J921" s="82"/>
    </row>
    <row r="922">
      <c r="F922" s="81"/>
      <c r="J922" s="82"/>
    </row>
    <row r="923">
      <c r="F923" s="81"/>
      <c r="J923" s="82"/>
    </row>
    <row r="924">
      <c r="F924" s="81"/>
      <c r="J924" s="82"/>
    </row>
    <row r="925">
      <c r="F925" s="81"/>
      <c r="J925" s="82"/>
    </row>
    <row r="926">
      <c r="F926" s="81"/>
      <c r="J926" s="82"/>
    </row>
    <row r="927">
      <c r="F927" s="81"/>
      <c r="J927" s="82"/>
    </row>
    <row r="928">
      <c r="F928" s="81"/>
      <c r="J928" s="82"/>
    </row>
    <row r="929">
      <c r="F929" s="81"/>
      <c r="J929" s="82"/>
    </row>
    <row r="930">
      <c r="F930" s="81"/>
      <c r="J930" s="82"/>
    </row>
    <row r="931">
      <c r="F931" s="81"/>
      <c r="J931" s="82"/>
    </row>
    <row r="932">
      <c r="F932" s="81"/>
      <c r="J932" s="82"/>
    </row>
    <row r="933">
      <c r="F933" s="81"/>
      <c r="J933" s="82"/>
    </row>
    <row r="934">
      <c r="F934" s="81"/>
      <c r="J934" s="82"/>
    </row>
    <row r="935">
      <c r="F935" s="81"/>
      <c r="J935" s="82"/>
    </row>
    <row r="936">
      <c r="F936" s="81"/>
      <c r="J936" s="82"/>
    </row>
    <row r="937">
      <c r="F937" s="81"/>
      <c r="J937" s="82"/>
    </row>
    <row r="938">
      <c r="F938" s="81"/>
      <c r="J938" s="82"/>
    </row>
    <row r="939">
      <c r="F939" s="81"/>
      <c r="J939" s="82"/>
    </row>
    <row r="940">
      <c r="F940" s="81"/>
      <c r="J940" s="82"/>
    </row>
    <row r="941">
      <c r="F941" s="81"/>
      <c r="J941" s="82"/>
    </row>
    <row r="942">
      <c r="F942" s="81"/>
      <c r="J942" s="82"/>
    </row>
    <row r="943">
      <c r="F943" s="81"/>
      <c r="J943" s="82"/>
    </row>
    <row r="944">
      <c r="F944" s="81"/>
      <c r="J944" s="82"/>
    </row>
    <row r="945">
      <c r="F945" s="81"/>
      <c r="J945" s="82"/>
    </row>
    <row r="946">
      <c r="F946" s="81"/>
      <c r="J946" s="82"/>
    </row>
    <row r="947">
      <c r="F947" s="81"/>
      <c r="J947" s="82"/>
    </row>
    <row r="948">
      <c r="F948" s="81"/>
      <c r="J948" s="82"/>
    </row>
    <row r="949">
      <c r="F949" s="81"/>
      <c r="J949" s="82"/>
    </row>
    <row r="950">
      <c r="F950" s="81"/>
      <c r="J950" s="82"/>
    </row>
    <row r="951">
      <c r="F951" s="81"/>
      <c r="J951" s="82"/>
    </row>
    <row r="952">
      <c r="F952" s="81"/>
      <c r="J952" s="82"/>
    </row>
    <row r="953">
      <c r="F953" s="81"/>
      <c r="J953" s="82"/>
    </row>
    <row r="954">
      <c r="F954" s="81"/>
      <c r="J954" s="82"/>
    </row>
    <row r="955">
      <c r="F955" s="81"/>
      <c r="J955" s="82"/>
    </row>
    <row r="956">
      <c r="F956" s="81"/>
      <c r="J956" s="82"/>
    </row>
    <row r="957">
      <c r="F957" s="81"/>
      <c r="J957" s="82"/>
    </row>
    <row r="958">
      <c r="F958" s="81"/>
      <c r="J958" s="82"/>
    </row>
    <row r="959">
      <c r="F959" s="81"/>
      <c r="J959" s="82"/>
    </row>
    <row r="960">
      <c r="F960" s="81"/>
      <c r="J960" s="82"/>
    </row>
    <row r="961">
      <c r="F961" s="81"/>
      <c r="J961" s="82"/>
    </row>
    <row r="962">
      <c r="F962" s="81"/>
      <c r="J962" s="82"/>
    </row>
    <row r="963">
      <c r="F963" s="81"/>
      <c r="J963" s="82"/>
    </row>
    <row r="964">
      <c r="F964" s="81"/>
      <c r="J964" s="82"/>
    </row>
    <row r="965">
      <c r="F965" s="81"/>
      <c r="J965" s="82"/>
    </row>
    <row r="966">
      <c r="F966" s="81"/>
      <c r="J966" s="82"/>
    </row>
    <row r="967">
      <c r="F967" s="81"/>
      <c r="J967" s="82"/>
    </row>
    <row r="968">
      <c r="F968" s="81"/>
      <c r="J968" s="82"/>
    </row>
    <row r="969">
      <c r="F969" s="81"/>
      <c r="J969" s="82"/>
    </row>
    <row r="970">
      <c r="F970" s="81"/>
      <c r="J970" s="82"/>
    </row>
    <row r="971">
      <c r="F971" s="81"/>
      <c r="J971" s="82"/>
    </row>
    <row r="972">
      <c r="F972" s="81"/>
      <c r="J972" s="82"/>
    </row>
    <row r="973">
      <c r="F973" s="81"/>
      <c r="J973" s="82"/>
    </row>
    <row r="974">
      <c r="F974" s="81"/>
      <c r="J974" s="82"/>
    </row>
    <row r="975">
      <c r="F975" s="81"/>
      <c r="J975" s="82"/>
    </row>
    <row r="976">
      <c r="F976" s="81"/>
      <c r="J976" s="82"/>
    </row>
    <row r="977">
      <c r="F977" s="81"/>
      <c r="J977" s="82"/>
    </row>
    <row r="978">
      <c r="F978" s="81"/>
      <c r="J978" s="82"/>
    </row>
    <row r="979">
      <c r="F979" s="81"/>
      <c r="J979" s="82"/>
    </row>
    <row r="980">
      <c r="F980" s="81"/>
      <c r="J980" s="82"/>
    </row>
    <row r="981">
      <c r="F981" s="81"/>
      <c r="J981" s="82"/>
    </row>
    <row r="982">
      <c r="F982" s="81"/>
      <c r="J982" s="82"/>
    </row>
    <row r="983">
      <c r="F983" s="81"/>
      <c r="J983" s="82"/>
    </row>
    <row r="984">
      <c r="F984" s="81"/>
      <c r="J984" s="82"/>
    </row>
    <row r="985">
      <c r="F985" s="81"/>
      <c r="J985" s="82"/>
    </row>
    <row r="986">
      <c r="F986" s="81"/>
      <c r="J986" s="82"/>
    </row>
    <row r="987">
      <c r="F987" s="81"/>
      <c r="J987" s="82"/>
    </row>
    <row r="988">
      <c r="F988" s="81"/>
      <c r="J988" s="82"/>
    </row>
    <row r="989">
      <c r="F989" s="81"/>
      <c r="J989" s="82"/>
    </row>
    <row r="990">
      <c r="F990" s="81"/>
      <c r="J990" s="82"/>
    </row>
    <row r="991">
      <c r="F991" s="81"/>
      <c r="J991" s="82"/>
    </row>
    <row r="992">
      <c r="F992" s="81"/>
      <c r="J992" s="82"/>
    </row>
    <row r="993">
      <c r="F993" s="81"/>
      <c r="J993" s="82"/>
    </row>
    <row r="994">
      <c r="F994" s="81"/>
      <c r="J994" s="82"/>
    </row>
    <row r="995">
      <c r="F995" s="81"/>
      <c r="J995" s="82"/>
    </row>
    <row r="996">
      <c r="F996" s="81"/>
      <c r="J996" s="82"/>
    </row>
    <row r="997">
      <c r="F997" s="81"/>
      <c r="J997" s="82"/>
    </row>
    <row r="998">
      <c r="F998" s="81"/>
      <c r="J998" s="82"/>
    </row>
    <row r="999">
      <c r="F999" s="81"/>
      <c r="J999" s="82"/>
    </row>
    <row r="1000">
      <c r="F1000" s="81"/>
      <c r="J1000" s="82"/>
    </row>
    <row r="1001">
      <c r="F1001" s="81"/>
      <c r="J1001" s="82"/>
    </row>
    <row r="1002">
      <c r="F1002" s="81"/>
      <c r="J1002" s="82"/>
    </row>
  </sheetData>
  <dataValidations>
    <dataValidation type="custom" allowBlank="1" showDropDown="1" sqref="D2:D41 K2:K41">
      <formula1>AND(ISNUMBER(D2),(NOT(OR(NOT(ISERROR(DATEVALUE(D2))), AND(ISNUMBER(D2), LEFT(CELL("format", D2))="D")))))</formula1>
    </dataValidation>
    <dataValidation type="list" allowBlank="1" sqref="J2:J41">
      <formula1>"COMPENSADO,PENDENTE"</formula1>
    </dataValidation>
  </dataValidations>
  <hyperlinks>
    <hyperlink r:id="rId2" ref="I2"/>
    <hyperlink r:id="rId3" ref="I3"/>
    <hyperlink r:id="rId4" ref="I4"/>
    <hyperlink r:id="rId5" ref="I5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6"/>
  <tableParts count="1">
    <tablePart r:id="rId8"/>
  </tableParts>
</worksheet>
</file>